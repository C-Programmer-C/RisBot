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1570" windowHeight="762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E22" i="1"/>
  <c r="N22" i="1"/>
  <c r="M22" i="1"/>
  <c r="L22" i="1"/>
  <c r="K22" i="1"/>
  <c r="J22" i="1"/>
  <c r="I22" i="1"/>
  <c r="H22" i="1"/>
  <c r="G22" i="1"/>
  <c r="F22" i="1"/>
  <c r="G7" i="1" l="1"/>
  <c r="F7" i="1"/>
  <c r="E7" i="1"/>
  <c r="N31" i="1" l="1"/>
  <c r="M31" i="1"/>
  <c r="L31" i="1"/>
  <c r="K31" i="1"/>
  <c r="J31" i="1"/>
  <c r="I31" i="1"/>
  <c r="H31" i="1"/>
  <c r="G31" i="1"/>
  <c r="F31" i="1"/>
  <c r="E31" i="1"/>
  <c r="D31" i="1"/>
  <c r="C31" i="1"/>
  <c r="D22" i="1"/>
  <c r="D7" i="1" l="1"/>
  <c r="C7" i="1"/>
  <c r="E16" i="1" l="1"/>
  <c r="F16" i="1"/>
  <c r="G16" i="1"/>
  <c r="H16" i="1"/>
  <c r="I16" i="1"/>
  <c r="J16" i="1"/>
  <c r="K16" i="1"/>
  <c r="L16" i="1"/>
  <c r="M16" i="1"/>
  <c r="N16" i="1"/>
  <c r="D16" i="1"/>
  <c r="C16" i="1"/>
  <c r="H7" i="1" l="1"/>
  <c r="M7" i="1"/>
  <c r="J7" i="1"/>
  <c r="I7" i="1"/>
  <c r="L7" i="1"/>
  <c r="N7" i="1"/>
  <c r="K7" i="1"/>
</calcChain>
</file>

<file path=xl/sharedStrings.xml><?xml version="1.0" encoding="utf-8"?>
<sst xmlns="http://schemas.openxmlformats.org/spreadsheetml/2006/main" count="308" uniqueCount="90">
  <si>
    <t>Джерелиевка</t>
  </si>
  <si>
    <t>Мука рисовая В.С.</t>
  </si>
  <si>
    <t>Мука рисовая 1 С.</t>
  </si>
  <si>
    <t>Мука рисовая 2 С.</t>
  </si>
  <si>
    <t>Ленинский</t>
  </si>
  <si>
    <t>Рис</t>
  </si>
  <si>
    <t>Северская</t>
  </si>
  <si>
    <t>Крупа</t>
  </si>
  <si>
    <t>Мука</t>
  </si>
  <si>
    <t>Кормовые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</si>
  <si>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</si>
  <si>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</si>
  <si>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</si>
  <si>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</si>
  <si>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</si>
  <si>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</si>
  <si>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</si>
  <si>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</si>
  <si>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</si>
  <si>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</si>
  <si>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</si>
  <si>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</si>
  <si>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Дробь</t>
  </si>
  <si>
    <t>Итого мука</t>
  </si>
  <si>
    <t>Дата отгрузки</t>
  </si>
  <si>
    <t>Прайс</t>
  </si>
  <si>
    <t>объем кг</t>
  </si>
  <si>
    <t>Цена за кг</t>
  </si>
  <si>
    <t>Цена за кг (Дост)</t>
  </si>
  <si>
    <t>Организация</t>
  </si>
  <si>
    <t>Цена</t>
  </si>
  <si>
    <t>Оплачено</t>
  </si>
  <si>
    <t>Поставщик</t>
  </si>
  <si>
    <t>Адрес отгрузки</t>
  </si>
  <si>
    <t>Новый лид</t>
  </si>
  <si>
    <t>Да</t>
  </si>
  <si>
    <t>Рисоптторг</t>
  </si>
  <si>
    <t>ООО "АГРОКОМБИНАТ ТАМБОВКРАХМАЛ"</t>
  </si>
  <si>
    <t>Новый Лид: ООО "АГРОКОМБИНАТ ТАМБОВКРАХМАЛ"Владимир КонновНовый лид получен</t>
  </si>
  <si>
    <t>Итого</t>
  </si>
  <si>
    <t>ИП Кривенко Антон Валентинович</t>
  </si>
  <si>
    <t>Новый Лид: ИП Кривенко Антон ВалентиновичАлександр ФроловНовый лид получен</t>
  </si>
  <si>
    <t>ИП Ланина Анна Викторовна</t>
  </si>
  <si>
    <t>Новый Лид: ИП Ланина Анна ВикторовнаРишат АхметвалиевНовый лид получен</t>
  </si>
  <si>
    <t>ООО "КРУПЯНАЯ КОМПАНИЯ"</t>
  </si>
  <si>
    <t>Новый Лид: ООО "КРУПЯНАЯ КОМПАНИЯ"Руслан РамазановНовый лид получен</t>
  </si>
  <si>
    <t>Мука рисовая высший сорт</t>
  </si>
  <si>
    <t>Староджерелиевская</t>
  </si>
  <si>
    <t>ООО "ЮЖНОЕ"</t>
  </si>
  <si>
    <t>Новый Лид: ООО "ЮЖНОЕ"Ирина НазароваНовый лид получен</t>
  </si>
  <si>
    <t>ООО "ПИЩЕВАЯ ТОРГОВАЯ КОМПАНИЯ"</t>
  </si>
  <si>
    <t>Новый Лид: ООО "ПИЩЕВАЯ ТОРГОВАЯ КОМПАНИЯ"Владимир КонновНовый лид получен</t>
  </si>
  <si>
    <t>Мука рисовая В.С. за Апрель 2026</t>
  </si>
  <si>
    <t>ООО "ГАРНЕЦ"</t>
  </si>
  <si>
    <t>Новый Лид: ООО "ГАРНЕЦ"Владимир КонновНовый лид получен</t>
  </si>
  <si>
    <t>ООО "АГРОПРО"</t>
  </si>
  <si>
    <t>Новый Лид: ООО "АГРОПРО"Александр ФроловНовый лид получен</t>
  </si>
  <si>
    <t>АО "СОЮЗСНАБ"</t>
  </si>
  <si>
    <t>Нет</t>
  </si>
  <si>
    <t>Новый Лид: АО "СОЮЗСНАБ"Гузелия ВалиеваНовый лид получен</t>
  </si>
  <si>
    <t>ИП Гамага Николай Викторович</t>
  </si>
  <si>
    <t>Новый Лид: ИП Гамага Николай ВикторовичРуслан РамазановНовый лид получен</t>
  </si>
  <si>
    <t>Мука рисовая 1 сорт ТУ</t>
  </si>
  <si>
    <t>АО "РЗПС"</t>
  </si>
  <si>
    <t>Новый Лид: АО "РЗПС"Александр ФроловНовый лид получен</t>
  </si>
  <si>
    <t>Мука рисовая 1 С. за Апрель 2026</t>
  </si>
  <si>
    <t>ООО "СИРИУС"</t>
  </si>
  <si>
    <t>Новый Лид: ООО "СИРИУС"Владимир КонновНовый лид получен</t>
  </si>
  <si>
    <t>ООО ТД "ДОМИНАНТ"</t>
  </si>
  <si>
    <t>Новый Лид: ООО ТД "ДОМИНАНТ"Владимир КонновНовый лид получен</t>
  </si>
  <si>
    <t>ООО "ЮВАЛЬ"</t>
  </si>
  <si>
    <t>Новый Лид: ООО "ЮВАЛЬ"Владимир КонновНовый лид получен</t>
  </si>
  <si>
    <t>ООО ПК "РУСЬ"</t>
  </si>
  <si>
    <t>Новый Лид: ООО ПК "РУСЬ"Владимир КонновНовый лид получен</t>
  </si>
  <si>
    <t>ООО "РЕСУРС МАРКЕТ"</t>
  </si>
  <si>
    <t>Новый Лид: ООО "РЕСУРС МАРКЕТ"Владимир КонновНовый лид получен</t>
  </si>
  <si>
    <t>ООО "ЭКСПРЕСС-КОМПЛЕКТ"</t>
  </si>
  <si>
    <t>Новый Лид: ООО "ЭКСПРЕСС-КОМПЛЕКТ"Ришат АхметвалиевНовый лид получен</t>
  </si>
  <si>
    <t>ИП Захаров Анатолий Анатольевич</t>
  </si>
  <si>
    <t>Новый Лид: ИП Захаров Анатолий АнатольевичРишат АхметвалиевНовый лид получен</t>
  </si>
  <si>
    <t>ООО "ТК АДАСТРА"</t>
  </si>
  <si>
    <t>Новый Лид: ООО "ТК АДАСТРА"Александр ФроловНовый лид получен</t>
  </si>
  <si>
    <t>ИП Домингес Елена Анатольевна</t>
  </si>
  <si>
    <t>Новый Лид: ИП Домингес Елена АнатольевнаРишат АхметвалиевНовый лид получен</t>
  </si>
  <si>
    <t>ООО "ПРОДМИЛК-М"</t>
  </si>
  <si>
    <t>Новый Лид: ООО "ПРОДМИЛК-М"Ришат АхметвалиевНовый лид получен</t>
  </si>
  <si>
    <t>ООО "НЕВСКИЙ КОНДИТЕР"</t>
  </si>
  <si>
    <t>Новый Лид: ООО "НЕВСКИЙ КОНДИТЕР"Руслан РамазановНовый лид получен</t>
  </si>
  <si>
    <t>АО КХП "ЗЛАК"</t>
  </si>
  <si>
    <t>Новый Лид: АО КХП "ЗЛАК"Руслан РамазановНовый лид получен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</si>
</sst>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5" xfId="0" applyFont="1" applyBorder="1"/>
    <xf numFmtId="0" fontId="1" fillId="0" borderId="2" xfId="0" applyFont="1" applyBorder="1"/>
    <xf numFmtId="0" fontId="1" fillId="0" borderId="6" xfId="0" applyFont="1" applyBorder="1"/>
    <xf numFmtId="0" fontId="1" fillId="0" borderId="4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1" fillId="0" borderId="8" xfId="0" applyFont="1" applyBorder="1"/>
    <xf numFmtId="0" fontId="1" fillId="0" borderId="13" xfId="0" applyFont="1" applyBorder="1"/>
    <xf numFmtId="0" fontId="1" fillId="0" borderId="7" xfId="0" applyFont="1" applyBorder="1"/>
    <xf numFmtId="0" fontId="1" fillId="0" borderId="0" xfId="0" applyFont="1"/>
    <xf numFmtId="14" fontId="0" fillId="0" borderId="0" xfId="0" applyNumberFormat="1"/>
    <xf numFmtId="4" fontId="0" fillId="0" borderId="0" xfId="0" applyNumberFormat="1"/>
    <xf numFmtId="0" fontId="2" fillId="0" borderId="0" xfId="0" applyFont="1"/>
    <xf numFmtId="0" fontId="0" fillId="0" borderId="0" xfId="0" applyBorder="1"/>
    <xf numFmtId="0" fontId="1" fillId="0" borderId="0" xfId="0" applyFont="1" applyFill="1" applyBorder="1"/>
    <xf numFmtId="14" fontId="0" fillId="0" borderId="0" xfId="0" applyNumberFormat="1" applyFill="1" applyBorder="1"/>
    <xf numFmtId="0" fontId="0" fillId="0" borderId="0" xfId="0" applyFill="1" applyBorder="1"/>
    <xf numFmtId="4" fontId="0" fillId="0" borderId="0" xfId="0" applyNumberFormat="1" applyFill="1" applyBorder="1"/>
    <xf numFmtId="14" fontId="0" fillId="0" borderId="0" xfId="0" applyNumberFormat="1" applyBorder="1"/>
    <xf numFmtId="4" fontId="0" fillId="0" borderId="0" xfId="0" applyNumberFormat="1" applyBorder="1"/>
    <xf numFmtId="0" fontId="0" fillId="2" borderId="3" xfId="0" applyFill="1" applyBorder="1"/>
    <xf numFmtId="0" fontId="0" fillId="2" borderId="9" xfId="0" applyFill="1" applyBorder="1"/>
    <xf numFmtId="0" fontId="0" fillId="2" borderId="1" xfId="0" applyFill="1" applyBorder="1"/>
    <xf numFmtId="0" fontId="0" fillId="2" borderId="11" xfId="0" applyFill="1" applyBorder="1"/>
    <xf numFmtId="0" fontId="0" fillId="2" borderId="2" xfId="0" applyFill="1" applyBorder="1"/>
    <xf numFmtId="0" fontId="0" fillId="2" borderId="13" xfId="0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0" borderId="1" xfId="0" applyFill="1" applyBorder="1"/>
    <xf numFmtId="14" fontId="0" fillId="0" borderId="1" xfId="0" applyNumberFormat="1" applyFill="1" applyBorder="1"/>
    <xf numFmtId="4" fontId="0" fillId="0" borderId="1" xfId="0" applyNumberFormat="1" applyFill="1" applyBorder="1"/>
    <xf numFmtId="0" fontId="1" fillId="0" borderId="1" xfId="0" applyFont="1" applyFill="1" applyBorder="1"/>
    <xf numFmtId="0" fontId="1" fillId="0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M411"/>
  <sheetViews>
    <sheetView tabSelected="1" zoomScale="85" zoomScaleNormal="85" workbookViewId="0">
      <selection activeCell="B33" sqref="B33"/>
    </sheetView>
  </sheetViews>
  <sheetFormatPr defaultRowHeight="15" x14ac:dyDescent="0.25"/>
  <cols>
    <col min="2" max="2" width="18.42578125" customWidth="1"/>
    <col min="17" max="17" width="13.85546875" bestFit="1" customWidth="1"/>
    <col min="18" max="18" width="43" bestFit="1" customWidth="1"/>
    <col min="19" max="19" width="10.28515625" bestFit="1" customWidth="1"/>
    <col min="20" max="21" width="9.42578125" bestFit="1" customWidth="1"/>
    <col min="22" max="22" width="61.42578125" bestFit="1" customWidth="1"/>
    <col min="23" max="23" width="11.7109375" bestFit="1" customWidth="1"/>
    <col min="24" max="24" width="10.140625" bestFit="1" customWidth="1"/>
    <col min="25" max="25" width="10.85546875" bestFit="1" customWidth="1"/>
    <col min="26" max="26" width="21.140625" bestFit="1" customWidth="1"/>
    <col min="27" max="27" width="81" bestFit="1" customWidth="1"/>
    <col min="28" max="28" width="26.5703125" customWidth="1"/>
    <col min="29" max="29" width="13.7109375" bestFit="1" customWidth="1"/>
    <col min="30" max="30" width="34.85546875" bestFit="1" customWidth="1"/>
    <col min="31" max="31" width="9.28515625" bestFit="1" customWidth="1"/>
    <col min="32" max="32" width="10.28515625" bestFit="1" customWidth="1"/>
    <col min="33" max="33" width="16.42578125" bestFit="1" customWidth="1"/>
    <col min="34" max="34" width="35.28515625" bestFit="1" customWidth="1"/>
    <col min="35" max="35" width="11.7109375" bestFit="1" customWidth="1"/>
    <col min="37" max="37" width="24.140625" bestFit="1" customWidth="1"/>
    <col min="38" max="38" width="20.85546875" bestFit="1" customWidth="1"/>
    <col min="39" max="39" width="81.140625" bestFit="1" customWidth="1"/>
  </cols>
  <sheetData>
    <row r="1" spans="1:39" x14ac:dyDescent="0.25">
      <c r="A1" s="22">
        <v>1</v>
      </c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</row>
    <row r="2" spans="1:39" ht="15.75" thickBot="1" x14ac:dyDescent="0.3">
      <c r="A2" s="22">
        <v>21</v>
      </c>
      <c r="B2" s="19">
        <v>2026</v>
      </c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ht="15.75" thickBot="1" x14ac:dyDescent="0.3">
      <c r="B3" s="9" t="s">
        <v>0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8" t="s">
        <v>21</v>
      </c>
      <c r="P3" s="23"/>
      <c r="Q3" s="42" t="s">
        <v>52</v>
      </c>
      <c r="R3" s="42"/>
      <c r="S3" s="42"/>
      <c r="T3" s="42"/>
      <c r="U3" s="42"/>
      <c r="V3" s="42"/>
      <c r="W3" s="42"/>
      <c r="X3" s="42"/>
      <c r="Y3" s="42"/>
      <c r="Z3" s="42"/>
      <c r="AA3" s="42"/>
      <c r="AB3" s="23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x14ac:dyDescent="0.25">
      <c r="B4" s="10" t="s">
        <v>1</v>
      </c>
      <c r="C4" s="30">
        <v>368560</v>
      </c>
      <c r="D4" s="30">
        <v>54440</v>
      </c>
      <c r="E4" s="30">
        <v>202680</v>
      </c>
      <c r="F4" s="30">
        <v>210440</v>
      </c>
      <c r="G4" s="30">
        <v>107000</v>
      </c>
      <c r="H4" s="30">
        <v>80000</v>
      </c>
      <c r="I4" s="30">
        <v>80000</v>
      </c>
      <c r="J4" s="30">
        <v>60000</v>
      </c>
      <c r="K4" s="30">
        <v>0</v>
      </c>
      <c r="L4" s="30">
        <v>0</v>
      </c>
      <c r="M4" s="30">
        <v>0</v>
      </c>
      <c r="N4" s="31">
        <v>0</v>
      </c>
      <c r="P4" s="23"/>
      <c r="Q4" s="41" t="s">
        <v>24</v>
      </c>
      <c r="R4" s="41" t="s">
        <v>25</v>
      </c>
      <c r="S4" s="41" t="s">
        <v>26</v>
      </c>
      <c r="T4" s="41" t="s">
        <v>27</v>
      </c>
      <c r="U4" s="41" t="s">
        <v>28</v>
      </c>
      <c r="V4" s="41" t="s">
        <v>29</v>
      </c>
      <c r="W4" s="41" t="s">
        <v>30</v>
      </c>
      <c r="X4" s="41" t="s">
        <v>31</v>
      </c>
      <c r="Y4" s="41" t="s">
        <v>32</v>
      </c>
      <c r="Z4" s="41" t="s">
        <v>33</v>
      </c>
      <c r="AA4" s="41" t="s">
        <v>34</v>
      </c>
      <c r="AB4" s="23"/>
      <c r="AC4" s="25"/>
      <c r="AD4" s="26"/>
      <c r="AE4" s="27"/>
      <c r="AF4" s="27"/>
      <c r="AG4" s="27"/>
      <c r="AH4" s="27"/>
      <c r="AI4" s="27"/>
      <c r="AJ4" s="27"/>
      <c r="AK4" s="27"/>
      <c r="AL4" s="27"/>
      <c r="AM4" s="27"/>
    </row>
    <row r="5" spans="1:39" x14ac:dyDescent="0.25">
      <c r="B5" s="12" t="s">
        <v>2</v>
      </c>
      <c r="C5" s="32">
        <v>210560</v>
      </c>
      <c r="D5" s="32">
        <v>356640</v>
      </c>
      <c r="E5" s="32">
        <v>298963</v>
      </c>
      <c r="F5" s="32">
        <v>276561</v>
      </c>
      <c r="G5" s="32">
        <v>77020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3">
        <v>0</v>
      </c>
      <c r="P5" s="23"/>
      <c r="Q5" s="39">
        <v>46140</v>
      </c>
      <c r="R5" s="38" t="s">
        <v>46</v>
      </c>
      <c r="S5" s="40">
        <v>20000</v>
      </c>
      <c r="T5" s="40">
        <v>29</v>
      </c>
      <c r="U5" s="40">
        <v>29</v>
      </c>
      <c r="V5" s="40" t="s">
        <v>37</v>
      </c>
      <c r="W5" s="40">
        <v>580000</v>
      </c>
      <c r="X5" s="40" t="s">
        <v>35</v>
      </c>
      <c r="Y5" s="40" t="s">
        <v>36</v>
      </c>
      <c r="Z5" s="40" t="s">
        <v>47</v>
      </c>
      <c r="AA5" s="40" t="s">
        <v>38</v>
      </c>
      <c r="AB5" s="23"/>
      <c r="AC5" s="25"/>
      <c r="AD5" s="26"/>
      <c r="AE5" s="27"/>
      <c r="AF5" s="27"/>
      <c r="AG5" s="27"/>
      <c r="AH5" s="27"/>
      <c r="AI5" s="27"/>
      <c r="AJ5" s="27"/>
      <c r="AK5" s="27"/>
      <c r="AL5" s="27"/>
      <c r="AM5" s="27"/>
    </row>
    <row r="6" spans="1:39" ht="15.75" thickBot="1" x14ac:dyDescent="0.3">
      <c r="B6" s="13" t="s">
        <v>3</v>
      </c>
      <c r="C6" s="34">
        <v>130000</v>
      </c>
      <c r="D6" s="34">
        <v>70000</v>
      </c>
      <c r="E6" s="34">
        <v>170000</v>
      </c>
      <c r="F6" s="34">
        <v>99000</v>
      </c>
      <c r="G6" s="34">
        <v>80000</v>
      </c>
      <c r="H6" s="34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35">
        <v>0</v>
      </c>
      <c r="P6" s="23"/>
      <c r="Q6" s="39">
        <v>46122</v>
      </c>
      <c r="R6" s="38" t="s">
        <v>46</v>
      </c>
      <c r="S6" s="40">
        <v>20000</v>
      </c>
      <c r="T6" s="40">
        <v>34</v>
      </c>
      <c r="U6" s="40">
        <v>38</v>
      </c>
      <c r="V6" s="40" t="s">
        <v>53</v>
      </c>
      <c r="W6" s="40">
        <v>760000</v>
      </c>
      <c r="X6" s="40" t="s">
        <v>35</v>
      </c>
      <c r="Y6" s="40" t="s">
        <v>36</v>
      </c>
      <c r="Z6" s="40" t="s">
        <v>47</v>
      </c>
      <c r="AA6" s="40" t="s">
        <v>54</v>
      </c>
      <c r="AB6" s="23"/>
      <c r="AC6" s="25"/>
      <c r="AD6" s="26"/>
      <c r="AE6" s="27"/>
      <c r="AF6" s="27"/>
      <c r="AG6" s="27"/>
      <c r="AH6" s="27"/>
      <c r="AI6" s="27"/>
      <c r="AJ6" s="27"/>
      <c r="AK6" s="27"/>
      <c r="AL6" s="27"/>
      <c r="AM6" s="27"/>
    </row>
    <row r="7" spans="1:39" ht="15.75" thickBot="1" x14ac:dyDescent="0.3">
      <c r="B7" s="2" t="s">
        <v>23</v>
      </c>
      <c r="C7" s="6">
        <f>SUM(C4:C6)</f>
        <v>709120</v>
      </c>
      <c r="D7" s="6">
        <f>SUM(D4:D6)</f>
        <v>481080</v>
      </c>
      <c r="E7" s="6">
        <f>SUM(E4:E6)</f>
        <v>671643</v>
      </c>
      <c r="F7" s="6">
        <f>SUM(F4:F5)</f>
        <v>487001</v>
      </c>
      <c r="G7" s="6">
        <f>SUM(G4:G6)</f>
        <v>264020</v>
      </c>
      <c r="H7" s="6">
        <f t="shared" ref="H7:N7" ca="1" si="0">SUM(H4:H7)</f>
        <v>0</v>
      </c>
      <c r="I7" s="6">
        <f t="shared" ca="1" si="0"/>
        <v>0</v>
      </c>
      <c r="J7" s="6">
        <f t="shared" ca="1" si="0"/>
        <v>0</v>
      </c>
      <c r="K7" s="6">
        <f t="shared" ca="1" si="0"/>
        <v>0</v>
      </c>
      <c r="L7" s="6">
        <f t="shared" ca="1" si="0"/>
        <v>0</v>
      </c>
      <c r="M7" s="6">
        <f t="shared" ca="1" si="0"/>
        <v>0</v>
      </c>
      <c r="N7" s="8">
        <f t="shared" ca="1" si="0"/>
        <v>0</v>
      </c>
      <c r="P7" s="23"/>
      <c r="Q7" s="39">
        <v>46118</v>
      </c>
      <c r="R7" s="38" t="s">
        <v>46</v>
      </c>
      <c r="S7" s="40">
        <v>20000</v>
      </c>
      <c r="T7" s="40">
        <v>33</v>
      </c>
      <c r="U7" s="40">
        <v>33</v>
      </c>
      <c r="V7" s="40" t="s">
        <v>37</v>
      </c>
      <c r="W7" s="40">
        <v>660000</v>
      </c>
      <c r="X7" s="40" t="s">
        <v>35</v>
      </c>
      <c r="Y7" s="40" t="s">
        <v>36</v>
      </c>
      <c r="Z7" s="40" t="s">
        <v>47</v>
      </c>
      <c r="AA7" s="40" t="s">
        <v>38</v>
      </c>
      <c r="AB7" s="23"/>
      <c r="AC7" s="25"/>
      <c r="AD7" s="26"/>
      <c r="AE7" s="27"/>
      <c r="AF7" s="27"/>
      <c r="AG7" s="27"/>
      <c r="AH7" s="27"/>
      <c r="AI7" s="27"/>
      <c r="AJ7" s="27"/>
      <c r="AK7" s="27"/>
      <c r="AL7" s="27"/>
      <c r="AM7" s="27"/>
    </row>
    <row r="8" spans="1:39" ht="15.75" thickBot="1" x14ac:dyDescent="0.3">
      <c r="B8" s="14" t="s">
        <v>22</v>
      </c>
      <c r="C8" s="18">
        <v>311250</v>
      </c>
      <c r="D8" s="18">
        <v>473350</v>
      </c>
      <c r="E8" s="5">
        <v>515000</v>
      </c>
      <c r="F8" s="5">
        <v>492600</v>
      </c>
      <c r="G8" s="5">
        <v>452250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15">
        <v>0</v>
      </c>
      <c r="P8" s="23"/>
      <c r="Q8" s="39">
        <v>46125</v>
      </c>
      <c r="R8" s="38" t="s">
        <v>46</v>
      </c>
      <c r="S8" s="40">
        <v>20000</v>
      </c>
      <c r="T8" s="40">
        <v>27.2</v>
      </c>
      <c r="U8" s="40">
        <v>28.8</v>
      </c>
      <c r="V8" s="40" t="s">
        <v>40</v>
      </c>
      <c r="W8" s="40">
        <v>576000</v>
      </c>
      <c r="X8" s="40" t="s">
        <v>35</v>
      </c>
      <c r="Y8" s="40" t="s">
        <v>36</v>
      </c>
      <c r="Z8" s="40" t="s">
        <v>47</v>
      </c>
      <c r="AA8" s="40" t="s">
        <v>41</v>
      </c>
      <c r="AB8" s="23"/>
      <c r="AC8" s="25"/>
      <c r="AD8" s="26"/>
      <c r="AE8" s="27"/>
      <c r="AF8" s="27"/>
      <c r="AG8" s="27"/>
      <c r="AH8" s="27"/>
      <c r="AI8" s="27"/>
      <c r="AJ8" s="27"/>
      <c r="AK8" s="27"/>
      <c r="AL8" s="27"/>
      <c r="AM8" s="27"/>
    </row>
    <row r="9" spans="1:39" ht="15.75" thickBot="1" x14ac:dyDescent="0.3">
      <c r="B9" s="16" t="s">
        <v>4</v>
      </c>
      <c r="C9" s="6" t="s">
        <v>10</v>
      </c>
      <c r="D9" s="6" t="s">
        <v>11</v>
      </c>
      <c r="E9" s="6" t="s">
        <v>12</v>
      </c>
      <c r="F9" s="6" t="s">
        <v>13</v>
      </c>
      <c r="G9" s="6" t="s">
        <v>14</v>
      </c>
      <c r="H9" s="6" t="s">
        <v>15</v>
      </c>
      <c r="I9" s="6" t="s">
        <v>16</v>
      </c>
      <c r="J9" s="6" t="s">
        <v>17</v>
      </c>
      <c r="K9" s="6" t="s">
        <v>18</v>
      </c>
      <c r="L9" s="6" t="s">
        <v>19</v>
      </c>
      <c r="M9" s="6" t="s">
        <v>20</v>
      </c>
      <c r="N9" s="8" t="s">
        <v>21</v>
      </c>
      <c r="P9" s="23"/>
      <c r="Q9" s="39">
        <v>46114</v>
      </c>
      <c r="R9" s="38" t="s">
        <v>46</v>
      </c>
      <c r="S9" s="40">
        <v>20000</v>
      </c>
      <c r="T9" s="40">
        <v>27.2</v>
      </c>
      <c r="U9" s="40">
        <v>28.8</v>
      </c>
      <c r="V9" s="40" t="s">
        <v>40</v>
      </c>
      <c r="W9" s="40">
        <v>576000</v>
      </c>
      <c r="X9" s="40" t="s">
        <v>35</v>
      </c>
      <c r="Y9" s="40" t="s">
        <v>36</v>
      </c>
      <c r="Z9" s="40" t="s">
        <v>47</v>
      </c>
      <c r="AA9" s="40" t="s">
        <v>41</v>
      </c>
      <c r="AB9" s="23"/>
      <c r="AC9" s="25"/>
      <c r="AD9" s="26"/>
      <c r="AE9" s="27"/>
      <c r="AF9" s="27"/>
      <c r="AG9" s="27"/>
      <c r="AH9" s="27"/>
      <c r="AI9" s="27"/>
      <c r="AJ9" s="27"/>
      <c r="AK9" s="27"/>
      <c r="AL9" s="27"/>
      <c r="AM9" s="27"/>
    </row>
    <row r="10" spans="1:39" ht="15.75" thickBot="1" x14ac:dyDescent="0.3">
      <c r="B10" s="13" t="s">
        <v>5</v>
      </c>
      <c r="C10" s="7">
        <v>857200</v>
      </c>
      <c r="D10" s="7">
        <v>1263100</v>
      </c>
      <c r="E10" s="7">
        <v>819300</v>
      </c>
      <c r="F10" s="7">
        <v>964300</v>
      </c>
      <c r="G10" s="7">
        <v>410125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17">
        <v>0</v>
      </c>
      <c r="P10" s="23"/>
      <c r="Q10" s="39">
        <v>46118</v>
      </c>
      <c r="R10" s="38" t="s">
        <v>46</v>
      </c>
      <c r="S10" s="40">
        <v>20000</v>
      </c>
      <c r="T10" s="40">
        <v>27.2</v>
      </c>
      <c r="U10" s="40">
        <v>28.8</v>
      </c>
      <c r="V10" s="40" t="s">
        <v>40</v>
      </c>
      <c r="W10" s="40">
        <v>576000</v>
      </c>
      <c r="X10" s="40" t="s">
        <v>35</v>
      </c>
      <c r="Y10" s="40" t="s">
        <v>36</v>
      </c>
      <c r="Z10" s="40" t="s">
        <v>47</v>
      </c>
      <c r="AA10" s="40" t="s">
        <v>41</v>
      </c>
      <c r="AB10" s="23"/>
      <c r="AC10" s="25"/>
      <c r="AD10" s="26"/>
      <c r="AE10" s="27"/>
      <c r="AF10" s="27"/>
      <c r="AG10" s="27"/>
      <c r="AH10" s="27"/>
      <c r="AI10" s="27"/>
      <c r="AJ10" s="27"/>
      <c r="AK10" s="27"/>
      <c r="AL10" s="27"/>
      <c r="AM10" s="27"/>
    </row>
    <row r="11" spans="1:39" ht="15.75" thickBot="1" x14ac:dyDescent="0.3">
      <c r="B11" s="2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"/>
      <c r="P11" s="23"/>
      <c r="Q11" s="39">
        <v>46129</v>
      </c>
      <c r="R11" s="38" t="s">
        <v>46</v>
      </c>
      <c r="S11" s="40">
        <v>20000</v>
      </c>
      <c r="T11" s="40">
        <v>27.2</v>
      </c>
      <c r="U11" s="40">
        <v>28.8</v>
      </c>
      <c r="V11" s="40" t="s">
        <v>40</v>
      </c>
      <c r="W11" s="40">
        <v>576000</v>
      </c>
      <c r="X11" s="40" t="s">
        <v>35</v>
      </c>
      <c r="Y11" s="40" t="s">
        <v>36</v>
      </c>
      <c r="Z11" s="40" t="s">
        <v>47</v>
      </c>
      <c r="AA11" s="40" t="s">
        <v>41</v>
      </c>
      <c r="AB11" s="23"/>
      <c r="AC11" s="25"/>
      <c r="AD11" s="26"/>
      <c r="AE11" s="27"/>
      <c r="AF11" s="27"/>
      <c r="AG11" s="27"/>
      <c r="AH11" s="27"/>
      <c r="AI11" s="27"/>
      <c r="AJ11" s="27"/>
      <c r="AK11" s="27"/>
      <c r="AL11" s="27"/>
      <c r="AM11" s="27"/>
    </row>
    <row r="12" spans="1:39" ht="15.75" thickBot="1" x14ac:dyDescent="0.3">
      <c r="B12" s="16" t="s">
        <v>6</v>
      </c>
      <c r="C12" s="6" t="s">
        <v>10</v>
      </c>
      <c r="D12" s="6" t="s">
        <v>11</v>
      </c>
      <c r="E12" s="6" t="s">
        <v>12</v>
      </c>
      <c r="F12" s="6" t="s">
        <v>13</v>
      </c>
      <c r="G12" s="6" t="s">
        <v>14</v>
      </c>
      <c r="H12" s="6" t="s">
        <v>15</v>
      </c>
      <c r="I12" s="6" t="s">
        <v>16</v>
      </c>
      <c r="J12" s="6" t="s">
        <v>17</v>
      </c>
      <c r="K12" s="6" t="s">
        <v>18</v>
      </c>
      <c r="L12" s="6" t="s">
        <v>19</v>
      </c>
      <c r="M12" s="6" t="s">
        <v>20</v>
      </c>
      <c r="N12" s="8" t="s">
        <v>21</v>
      </c>
      <c r="P12" s="23"/>
      <c r="Q12" s="39">
        <v>46121</v>
      </c>
      <c r="R12" s="38" t="s">
        <v>46</v>
      </c>
      <c r="S12" s="40">
        <v>20000</v>
      </c>
      <c r="T12" s="40">
        <v>33.5</v>
      </c>
      <c r="U12" s="40">
        <v>33.5</v>
      </c>
      <c r="V12" s="40" t="s">
        <v>48</v>
      </c>
      <c r="W12" s="40">
        <v>670000</v>
      </c>
      <c r="X12" s="40" t="s">
        <v>35</v>
      </c>
      <c r="Y12" s="40" t="s">
        <v>36</v>
      </c>
      <c r="Z12" s="40" t="s">
        <v>47</v>
      </c>
      <c r="AA12" s="40" t="s">
        <v>49</v>
      </c>
      <c r="AB12" s="23"/>
      <c r="AC12" s="25"/>
      <c r="AD12" s="26"/>
      <c r="AE12" s="27"/>
      <c r="AF12" s="27"/>
      <c r="AG12" s="27"/>
      <c r="AH12" s="27"/>
      <c r="AI12" s="27"/>
      <c r="AJ12" s="27"/>
      <c r="AK12" s="27"/>
      <c r="AL12" s="27"/>
      <c r="AM12" s="27"/>
    </row>
    <row r="13" spans="1:39" x14ac:dyDescent="0.25">
      <c r="B13" s="12" t="s">
        <v>7</v>
      </c>
      <c r="C13" s="32">
        <v>373375</v>
      </c>
      <c r="D13" s="32">
        <v>555070</v>
      </c>
      <c r="E13" s="32">
        <v>522250</v>
      </c>
      <c r="F13" s="32">
        <v>426780</v>
      </c>
      <c r="G13" s="32">
        <v>248300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3">
        <v>0</v>
      </c>
      <c r="P13" s="23"/>
      <c r="Q13" s="39">
        <v>46139</v>
      </c>
      <c r="R13" s="38" t="s">
        <v>46</v>
      </c>
      <c r="S13" s="40">
        <v>20000</v>
      </c>
      <c r="T13" s="40">
        <v>33.5</v>
      </c>
      <c r="U13" s="40">
        <v>33.5</v>
      </c>
      <c r="V13" s="40" t="s">
        <v>48</v>
      </c>
      <c r="W13" s="40">
        <v>670000</v>
      </c>
      <c r="X13" s="40" t="s">
        <v>35</v>
      </c>
      <c r="Y13" s="40" t="s">
        <v>36</v>
      </c>
      <c r="Z13" s="40" t="s">
        <v>47</v>
      </c>
      <c r="AA13" s="40" t="s">
        <v>49</v>
      </c>
      <c r="AB13" s="23"/>
      <c r="AC13" s="25"/>
      <c r="AD13" s="26"/>
      <c r="AE13" s="27"/>
      <c r="AF13" s="27"/>
      <c r="AG13" s="27"/>
      <c r="AH13" s="27"/>
      <c r="AI13" s="27"/>
      <c r="AJ13" s="27"/>
      <c r="AK13" s="27"/>
      <c r="AL13" s="27"/>
      <c r="AM13" s="27"/>
    </row>
    <row r="14" spans="1:39" x14ac:dyDescent="0.25">
      <c r="B14" s="12" t="s">
        <v>8</v>
      </c>
      <c r="C14" s="32">
        <v>126000</v>
      </c>
      <c r="D14" s="32">
        <v>189040</v>
      </c>
      <c r="E14" s="32">
        <v>256760</v>
      </c>
      <c r="F14" s="32">
        <v>281760</v>
      </c>
      <c r="G14" s="32">
        <v>90820</v>
      </c>
      <c r="H14" s="32">
        <v>20000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3">
        <v>0</v>
      </c>
      <c r="P14" s="23"/>
      <c r="Q14" s="39">
        <v>46128</v>
      </c>
      <c r="R14" s="38" t="s">
        <v>46</v>
      </c>
      <c r="S14" s="40">
        <v>5000</v>
      </c>
      <c r="T14" s="40">
        <v>34</v>
      </c>
      <c r="U14" s="40">
        <v>34</v>
      </c>
      <c r="V14" s="40" t="s">
        <v>50</v>
      </c>
      <c r="W14" s="40">
        <v>170000</v>
      </c>
      <c r="X14" s="40" t="s">
        <v>35</v>
      </c>
      <c r="Y14" s="40" t="s">
        <v>36</v>
      </c>
      <c r="Z14" s="40" t="s">
        <v>47</v>
      </c>
      <c r="AA14" s="40" t="s">
        <v>51</v>
      </c>
      <c r="AB14" s="23"/>
      <c r="AC14" s="25"/>
      <c r="AD14" s="26"/>
      <c r="AE14" s="27"/>
      <c r="AF14" s="27"/>
      <c r="AG14" s="27"/>
      <c r="AH14" s="27"/>
      <c r="AI14" s="27"/>
      <c r="AJ14" s="27"/>
      <c r="AK14" s="27"/>
      <c r="AL14" s="27"/>
      <c r="AM14" s="27"/>
    </row>
    <row r="15" spans="1:39" ht="15.75" thickBot="1" x14ac:dyDescent="0.3">
      <c r="B15" s="13" t="s">
        <v>9</v>
      </c>
      <c r="C15" s="34">
        <v>3000</v>
      </c>
      <c r="D15" s="34">
        <v>100000</v>
      </c>
      <c r="E15" s="34">
        <v>74000</v>
      </c>
      <c r="F15" s="34">
        <v>92000</v>
      </c>
      <c r="G15" s="34">
        <v>60000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5">
        <v>0</v>
      </c>
      <c r="P15" s="23"/>
      <c r="Q15" s="39">
        <v>46119</v>
      </c>
      <c r="R15" s="38" t="s">
        <v>46</v>
      </c>
      <c r="S15" s="40">
        <v>5000</v>
      </c>
      <c r="T15" s="40">
        <v>32</v>
      </c>
      <c r="U15" s="40">
        <v>32</v>
      </c>
      <c r="V15" s="40" t="s">
        <v>55</v>
      </c>
      <c r="W15" s="40">
        <v>160000</v>
      </c>
      <c r="X15" s="40" t="s">
        <v>35</v>
      </c>
      <c r="Y15" s="40" t="s">
        <v>36</v>
      </c>
      <c r="Z15" s="40" t="s">
        <v>47</v>
      </c>
      <c r="AA15" s="40" t="s">
        <v>56</v>
      </c>
      <c r="AB15" s="23"/>
      <c r="AC15" s="25"/>
      <c r="AD15" s="26"/>
      <c r="AE15" s="27"/>
      <c r="AF15" s="27"/>
      <c r="AG15" s="27"/>
      <c r="AH15" s="27"/>
      <c r="AI15" s="27"/>
      <c r="AJ15" s="27"/>
      <c r="AK15" s="27"/>
      <c r="AL15" s="27"/>
      <c r="AM15" s="27"/>
    </row>
    <row r="16" spans="1:39" ht="15.75" thickBot="1" x14ac:dyDescent="0.3">
      <c r="B16" s="2" t="s">
        <v>39</v>
      </c>
      <c r="C16" s="6">
        <f>SUM(C13:C15)</f>
        <v>502375</v>
      </c>
      <c r="D16" s="6">
        <f>SUM(D13:D15)</f>
        <v>844110</v>
      </c>
      <c r="E16" s="6">
        <f t="shared" ref="E16:N16" si="1">SUM(E13:E15)</f>
        <v>853010</v>
      </c>
      <c r="F16" s="6">
        <f t="shared" si="1"/>
        <v>800540</v>
      </c>
      <c r="G16" s="6">
        <f t="shared" si="1"/>
        <v>399120</v>
      </c>
      <c r="H16" s="6">
        <f t="shared" si="1"/>
        <v>20000</v>
      </c>
      <c r="I16" s="6">
        <f t="shared" si="1"/>
        <v>0</v>
      </c>
      <c r="J16" s="6">
        <f t="shared" si="1"/>
        <v>0</v>
      </c>
      <c r="K16" s="6">
        <f t="shared" si="1"/>
        <v>0</v>
      </c>
      <c r="L16" s="6">
        <f t="shared" si="1"/>
        <v>0</v>
      </c>
      <c r="M16" s="6">
        <f t="shared" si="1"/>
        <v>0</v>
      </c>
      <c r="N16" s="8">
        <f t="shared" si="1"/>
        <v>0</v>
      </c>
      <c r="P16" s="23"/>
      <c r="Q16" s="39">
        <v>46139</v>
      </c>
      <c r="R16" s="38" t="s">
        <v>46</v>
      </c>
      <c r="S16" s="40">
        <v>120</v>
      </c>
      <c r="T16" s="40">
        <v>33</v>
      </c>
      <c r="U16" s="40">
        <v>33</v>
      </c>
      <c r="V16" s="40" t="s">
        <v>44</v>
      </c>
      <c r="W16" s="40">
        <v>3960</v>
      </c>
      <c r="X16" s="40" t="s">
        <v>35</v>
      </c>
      <c r="Y16" s="40" t="s">
        <v>36</v>
      </c>
      <c r="Z16" s="40" t="s">
        <v>47</v>
      </c>
      <c r="AA16" s="40" t="s">
        <v>45</v>
      </c>
      <c r="AB16" s="23"/>
      <c r="AC16" s="25"/>
      <c r="AD16" s="26"/>
      <c r="AE16" s="27"/>
      <c r="AF16" s="27"/>
      <c r="AG16" s="27"/>
      <c r="AH16" s="27"/>
      <c r="AI16" s="27"/>
      <c r="AJ16" s="27"/>
      <c r="AK16" s="27"/>
      <c r="AL16" s="27"/>
      <c r="AM16" s="27"/>
    </row>
    <row r="17" spans="2:39" ht="15.75" thickBot="1" x14ac:dyDescent="0.3">
      <c r="B17" s="19">
        <v>2025</v>
      </c>
      <c r="P17" s="23"/>
      <c r="Q17" s="39">
        <v>46121</v>
      </c>
      <c r="R17" s="38" t="s">
        <v>46</v>
      </c>
      <c r="S17" s="40">
        <v>1</v>
      </c>
      <c r="T17" s="40">
        <v>68</v>
      </c>
      <c r="U17" s="40">
        <v>68</v>
      </c>
      <c r="V17" s="40" t="s">
        <v>57</v>
      </c>
      <c r="W17" s="40">
        <v>0</v>
      </c>
      <c r="X17" s="40" t="s">
        <v>58</v>
      </c>
      <c r="Y17" s="40" t="s">
        <v>36</v>
      </c>
      <c r="Z17" s="40" t="s">
        <v>47</v>
      </c>
      <c r="AA17" s="40" t="s">
        <v>59</v>
      </c>
      <c r="AB17" s="23"/>
      <c r="AC17" s="28"/>
      <c r="AD17" s="23"/>
      <c r="AE17" s="29"/>
      <c r="AF17" s="29"/>
      <c r="AG17" s="29"/>
      <c r="AH17" s="29"/>
      <c r="AI17" s="29"/>
      <c r="AJ17" s="23"/>
      <c r="AK17" s="23"/>
      <c r="AL17" s="23"/>
      <c r="AM17" s="23"/>
    </row>
    <row r="18" spans="2:39" ht="15.75" thickBot="1" x14ac:dyDescent="0.3">
      <c r="B18" s="9" t="s">
        <v>0</v>
      </c>
      <c r="C18" s="6" t="s">
        <v>10</v>
      </c>
      <c r="D18" s="6" t="s">
        <v>11</v>
      </c>
      <c r="E18" s="6" t="s">
        <v>12</v>
      </c>
      <c r="F18" s="6" t="s">
        <v>13</v>
      </c>
      <c r="G18" s="6" t="s">
        <v>14</v>
      </c>
      <c r="H18" s="6" t="s">
        <v>15</v>
      </c>
      <c r="I18" s="6" t="s">
        <v>16</v>
      </c>
      <c r="J18" s="6" t="s">
        <v>17</v>
      </c>
      <c r="K18" s="6" t="s">
        <v>18</v>
      </c>
      <c r="L18" s="6" t="s">
        <v>19</v>
      </c>
      <c r="M18" s="6" t="s">
        <v>20</v>
      </c>
      <c r="N18" s="8" t="s">
        <v>21</v>
      </c>
      <c r="P18" s="23"/>
      <c r="Q18" s="39">
        <v>46135</v>
      </c>
      <c r="R18" s="38" t="s">
        <v>46</v>
      </c>
      <c r="S18" s="40">
        <v>46135</v>
      </c>
      <c r="T18" s="40">
        <v>32</v>
      </c>
      <c r="U18" s="40">
        <v>32</v>
      </c>
      <c r="V18" s="40" t="s">
        <v>60</v>
      </c>
      <c r="W18" s="40">
        <v>10240</v>
      </c>
      <c r="X18" s="40" t="s">
        <v>35</v>
      </c>
      <c r="Y18" s="40" t="s">
        <v>36</v>
      </c>
      <c r="Z18" s="40" t="s">
        <v>47</v>
      </c>
      <c r="AA18" s="40" t="s">
        <v>61</v>
      </c>
      <c r="AB18" s="23"/>
      <c r="AC18" s="28"/>
      <c r="AD18" s="23"/>
      <c r="AE18" s="29"/>
      <c r="AF18" s="29"/>
      <c r="AG18" s="29"/>
      <c r="AH18" s="29"/>
      <c r="AI18" s="29"/>
      <c r="AJ18" s="23"/>
      <c r="AK18" s="23"/>
      <c r="AL18" s="23"/>
      <c r="AM18" s="23"/>
    </row>
    <row r="19" spans="2:39" x14ac:dyDescent="0.25">
      <c r="B19" s="10" t="s">
        <v>1</v>
      </c>
      <c r="C19" s="30">
        <v>15000</v>
      </c>
      <c r="D19" s="30">
        <v>50120</v>
      </c>
      <c r="E19" s="30">
        <v>173080</v>
      </c>
      <c r="F19" s="30">
        <v>169000</v>
      </c>
      <c r="G19" s="30">
        <v>220000</v>
      </c>
      <c r="H19" s="30">
        <v>77520</v>
      </c>
      <c r="I19" s="30">
        <v>29120</v>
      </c>
      <c r="J19" s="30">
        <v>16000</v>
      </c>
      <c r="K19" s="30">
        <v>328040</v>
      </c>
      <c r="L19" s="30">
        <v>1123171</v>
      </c>
      <c r="M19" s="30">
        <v>353293</v>
      </c>
      <c r="N19" s="31">
        <v>440480</v>
      </c>
      <c r="P19" s="23"/>
      <c r="Q19" s="39">
        <v>46140</v>
      </c>
      <c r="R19" s="38" t="s">
        <v>62</v>
      </c>
      <c r="S19" s="40">
        <v>46140</v>
      </c>
      <c r="T19" s="40">
        <v>28.85</v>
      </c>
      <c r="U19" s="40">
        <v>32</v>
      </c>
      <c r="V19" s="40" t="s">
        <v>63</v>
      </c>
      <c r="W19" s="40">
        <v>640000</v>
      </c>
      <c r="X19" s="40" t="s">
        <v>58</v>
      </c>
      <c r="Y19" s="40" t="s">
        <v>36</v>
      </c>
      <c r="Z19" s="40" t="s">
        <v>47</v>
      </c>
      <c r="AA19" s="40" t="s">
        <v>64</v>
      </c>
      <c r="AB19" s="23"/>
      <c r="AC19" s="28"/>
      <c r="AD19" s="23"/>
      <c r="AE19" s="29"/>
      <c r="AF19" s="29"/>
      <c r="AG19" s="29"/>
      <c r="AH19" s="29"/>
      <c r="AI19" s="29"/>
      <c r="AJ19" s="23"/>
      <c r="AK19" s="23"/>
      <c r="AL19" s="23"/>
      <c r="AM19" s="23"/>
    </row>
    <row r="20" spans="2:39" x14ac:dyDescent="0.25">
      <c r="B20" s="12" t="s">
        <v>2</v>
      </c>
      <c r="C20" s="32">
        <v>80640</v>
      </c>
      <c r="D20" s="32">
        <v>60120</v>
      </c>
      <c r="E20" s="32">
        <v>293840</v>
      </c>
      <c r="F20" s="32">
        <v>300000</v>
      </c>
      <c r="G20" s="32">
        <v>440040</v>
      </c>
      <c r="H20" s="32">
        <v>271620</v>
      </c>
      <c r="I20" s="32">
        <v>209680</v>
      </c>
      <c r="J20" s="32">
        <v>274520</v>
      </c>
      <c r="K20" s="32">
        <v>397160</v>
      </c>
      <c r="L20" s="32">
        <v>298520</v>
      </c>
      <c r="M20" s="32">
        <v>569585</v>
      </c>
      <c r="N20" s="33">
        <v>343040</v>
      </c>
      <c r="P20" s="23"/>
      <c r="AB20" s="23"/>
      <c r="AC20" s="28"/>
      <c r="AD20" s="23"/>
      <c r="AE20" s="29"/>
      <c r="AF20" s="29"/>
      <c r="AG20" s="29"/>
      <c r="AH20" s="29"/>
      <c r="AI20" s="29"/>
      <c r="AJ20" s="23"/>
      <c r="AK20" s="23"/>
      <c r="AL20" s="23"/>
      <c r="AM20" s="23"/>
    </row>
    <row r="21" spans="2:39" ht="15.75" thickBot="1" x14ac:dyDescent="0.3">
      <c r="B21" s="13" t="s">
        <v>3</v>
      </c>
      <c r="C21" s="34">
        <v>25000</v>
      </c>
      <c r="D21" s="34">
        <v>20120</v>
      </c>
      <c r="E21" s="34">
        <v>128000</v>
      </c>
      <c r="F21" s="34">
        <v>216080</v>
      </c>
      <c r="G21" s="34">
        <v>91000</v>
      </c>
      <c r="H21" s="34">
        <v>60000</v>
      </c>
      <c r="I21" s="34">
        <v>109960</v>
      </c>
      <c r="J21" s="34">
        <v>72000</v>
      </c>
      <c r="K21" s="34">
        <v>151200</v>
      </c>
      <c r="L21" s="34">
        <v>117000</v>
      </c>
      <c r="M21" s="34">
        <v>130080</v>
      </c>
      <c r="N21" s="35">
        <v>111000</v>
      </c>
      <c r="P21" s="23"/>
      <c r="Q21" s="42" t="s">
        <v>65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23"/>
      <c r="AC21" s="28"/>
      <c r="AD21" s="23"/>
      <c r="AE21" s="29"/>
      <c r="AF21" s="29"/>
      <c r="AG21" s="29"/>
      <c r="AH21" s="29"/>
      <c r="AI21" s="29"/>
      <c r="AJ21" s="23"/>
      <c r="AK21" s="23"/>
      <c r="AL21" s="23"/>
      <c r="AM21" s="23"/>
    </row>
    <row r="22" spans="2:39" ht="15.75" thickBot="1" x14ac:dyDescent="0.3">
      <c r="B22" s="2" t="s">
        <v>23</v>
      </c>
      <c r="C22" s="36">
        <f t="shared" ref="C22:N22" si="2">SUM(C19:C21)</f>
        <v>120640</v>
      </c>
      <c r="D22" s="36">
        <f t="shared" si="2"/>
        <v>130360</v>
      </c>
      <c r="E22" s="36">
        <f t="shared" si="2"/>
        <v>594920</v>
      </c>
      <c r="F22" s="36">
        <f t="shared" si="2"/>
        <v>685080</v>
      </c>
      <c r="G22" s="36">
        <f t="shared" si="2"/>
        <v>751040</v>
      </c>
      <c r="H22" s="36">
        <f t="shared" si="2"/>
        <v>409140</v>
      </c>
      <c r="I22" s="36">
        <f t="shared" si="2"/>
        <v>348760</v>
      </c>
      <c r="J22" s="36">
        <f t="shared" si="2"/>
        <v>362520</v>
      </c>
      <c r="K22" s="36">
        <f t="shared" si="2"/>
        <v>876400</v>
      </c>
      <c r="L22" s="36">
        <f t="shared" si="2"/>
        <v>1538691</v>
      </c>
      <c r="M22" s="36">
        <f t="shared" si="2"/>
        <v>1052958</v>
      </c>
      <c r="N22" s="37">
        <f t="shared" si="2"/>
        <v>894520</v>
      </c>
      <c r="P22" s="23"/>
      <c r="Q22" s="41" t="s">
        <v>24</v>
      </c>
      <c r="R22" s="41" t="s">
        <v>25</v>
      </c>
      <c r="S22" s="41" t="s">
        <v>26</v>
      </c>
      <c r="T22" s="41" t="s">
        <v>27</v>
      </c>
      <c r="U22" s="41" t="s">
        <v>28</v>
      </c>
      <c r="V22" s="41" t="s">
        <v>29</v>
      </c>
      <c r="W22" s="41" t="s">
        <v>30</v>
      </c>
      <c r="X22" s="41" t="s">
        <v>31</v>
      </c>
      <c r="Y22" s="41" t="s">
        <v>32</v>
      </c>
      <c r="Z22" s="41" t="s">
        <v>33</v>
      </c>
      <c r="AA22" s="41" t="s">
        <v>34</v>
      </c>
      <c r="AB22" s="23"/>
      <c r="AC22" s="28"/>
      <c r="AD22" s="23"/>
      <c r="AE22" s="29"/>
      <c r="AF22" s="29"/>
      <c r="AG22" s="29"/>
      <c r="AH22" s="29"/>
      <c r="AI22" s="29"/>
      <c r="AJ22" s="23"/>
      <c r="AK22" s="23"/>
      <c r="AL22" s="23"/>
      <c r="AM22" s="23"/>
    </row>
    <row r="23" spans="2:39" ht="15.75" thickBot="1" x14ac:dyDescent="0.3">
      <c r="B23" s="14" t="s">
        <v>22</v>
      </c>
      <c r="C23" s="18">
        <v>5000</v>
      </c>
      <c r="D23" s="18">
        <v>0</v>
      </c>
      <c r="E23" s="5">
        <v>355650</v>
      </c>
      <c r="F23" s="5">
        <v>144000</v>
      </c>
      <c r="G23" s="5">
        <v>192000</v>
      </c>
      <c r="H23" s="5">
        <v>262000</v>
      </c>
      <c r="I23" s="5">
        <v>413500</v>
      </c>
      <c r="J23" s="5">
        <v>427600</v>
      </c>
      <c r="K23" s="5">
        <v>401100</v>
      </c>
      <c r="L23" s="5">
        <v>468100</v>
      </c>
      <c r="M23" s="5">
        <v>672900</v>
      </c>
      <c r="N23" s="15">
        <v>282500</v>
      </c>
      <c r="P23" s="23"/>
      <c r="Q23" s="39">
        <v>46114</v>
      </c>
      <c r="R23" s="38" t="s">
        <v>62</v>
      </c>
      <c r="S23" s="40">
        <v>22000</v>
      </c>
      <c r="T23" s="40">
        <v>28</v>
      </c>
      <c r="U23" s="40">
        <v>28</v>
      </c>
      <c r="V23" s="40" t="s">
        <v>66</v>
      </c>
      <c r="W23" s="40">
        <v>616000</v>
      </c>
      <c r="X23" s="40" t="s">
        <v>35</v>
      </c>
      <c r="Y23" s="40" t="s">
        <v>36</v>
      </c>
      <c r="Z23" s="40" t="s">
        <v>47</v>
      </c>
      <c r="AA23" s="40" t="s">
        <v>67</v>
      </c>
      <c r="AB23" s="23"/>
      <c r="AC23" s="28"/>
      <c r="AD23" s="23"/>
      <c r="AE23" s="29"/>
      <c r="AF23" s="29"/>
      <c r="AG23" s="29"/>
      <c r="AH23" s="29"/>
      <c r="AI23" s="29"/>
      <c r="AJ23" s="23"/>
      <c r="AK23" s="23"/>
      <c r="AL23" s="23"/>
      <c r="AM23" s="23"/>
    </row>
    <row r="24" spans="2:39" x14ac:dyDescent="0.25">
      <c r="B24" s="16" t="s">
        <v>4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1"/>
      <c r="P24" s="23"/>
      <c r="Q24" s="39">
        <v>46134</v>
      </c>
      <c r="R24" s="38" t="s">
        <v>62</v>
      </c>
      <c r="S24" s="40">
        <v>20000</v>
      </c>
      <c r="T24" s="40">
        <v>29</v>
      </c>
      <c r="U24" s="40">
        <v>29</v>
      </c>
      <c r="V24" s="40" t="s">
        <v>68</v>
      </c>
      <c r="W24" s="40">
        <v>580000</v>
      </c>
      <c r="X24" s="40" t="s">
        <v>35</v>
      </c>
      <c r="Y24" s="40" t="s">
        <v>36</v>
      </c>
      <c r="Z24" s="40" t="s">
        <v>47</v>
      </c>
      <c r="AA24" s="40" t="s">
        <v>69</v>
      </c>
      <c r="AB24" s="23"/>
      <c r="AC24" s="28"/>
      <c r="AD24" s="23"/>
      <c r="AE24" s="29"/>
      <c r="AF24" s="29"/>
      <c r="AG24" s="29"/>
      <c r="AH24" s="29"/>
      <c r="AI24" s="29"/>
      <c r="AJ24" s="23"/>
      <c r="AK24" s="23"/>
      <c r="AL24" s="23"/>
      <c r="AM24" s="23"/>
    </row>
    <row r="25" spans="2:39" ht="15.75" thickBot="1" x14ac:dyDescent="0.3">
      <c r="B25" s="13" t="s">
        <v>5</v>
      </c>
      <c r="C25" s="7">
        <v>80000</v>
      </c>
      <c r="D25" s="7">
        <v>40000</v>
      </c>
      <c r="E25" s="7">
        <v>311100</v>
      </c>
      <c r="F25" s="7">
        <v>483600</v>
      </c>
      <c r="G25" s="7">
        <v>446000</v>
      </c>
      <c r="H25" s="7">
        <v>284000</v>
      </c>
      <c r="I25" s="7">
        <v>557550</v>
      </c>
      <c r="J25" s="7">
        <v>325500</v>
      </c>
      <c r="K25" s="7">
        <v>1097500</v>
      </c>
      <c r="L25" s="7">
        <v>859000</v>
      </c>
      <c r="M25" s="7">
        <v>745525</v>
      </c>
      <c r="N25" s="17">
        <v>1210800</v>
      </c>
      <c r="P25" s="23"/>
      <c r="Q25" s="39">
        <v>46139</v>
      </c>
      <c r="R25" s="38" t="s">
        <v>62</v>
      </c>
      <c r="S25" s="40">
        <v>20000</v>
      </c>
      <c r="T25" s="40">
        <v>29</v>
      </c>
      <c r="U25" s="40">
        <v>29</v>
      </c>
      <c r="V25" s="40" t="s">
        <v>70</v>
      </c>
      <c r="W25" s="40">
        <v>580000</v>
      </c>
      <c r="X25" s="40" t="s">
        <v>35</v>
      </c>
      <c r="Y25" s="40" t="s">
        <v>36</v>
      </c>
      <c r="Z25" s="40" t="s">
        <v>47</v>
      </c>
      <c r="AA25" s="40" t="s">
        <v>71</v>
      </c>
      <c r="AB25" s="23"/>
      <c r="AC25" s="28"/>
      <c r="AD25" s="23"/>
      <c r="AE25" s="29"/>
      <c r="AF25" s="29"/>
      <c r="AG25" s="29"/>
      <c r="AH25" s="29"/>
      <c r="AI25" s="29"/>
      <c r="AJ25" s="23"/>
      <c r="AK25" s="23"/>
      <c r="AL25" s="23"/>
      <c r="AM25" s="23"/>
    </row>
    <row r="26" spans="2:39" ht="15.75" thickBot="1" x14ac:dyDescent="0.3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4"/>
      <c r="P26" s="23"/>
      <c r="Q26" s="39">
        <v>46122</v>
      </c>
      <c r="R26" s="38" t="s">
        <v>62</v>
      </c>
      <c r="S26" s="40">
        <v>20000</v>
      </c>
      <c r="T26" s="40">
        <v>27</v>
      </c>
      <c r="U26" s="40">
        <v>27</v>
      </c>
      <c r="V26" s="40" t="s">
        <v>72</v>
      </c>
      <c r="W26" s="40">
        <v>540000</v>
      </c>
      <c r="X26" s="40" t="s">
        <v>35</v>
      </c>
      <c r="Y26" s="40" t="s">
        <v>36</v>
      </c>
      <c r="Z26" s="40" t="s">
        <v>47</v>
      </c>
      <c r="AA26" s="40" t="s">
        <v>73</v>
      </c>
      <c r="AB26" s="23"/>
      <c r="AC26" s="28"/>
      <c r="AD26" s="23"/>
      <c r="AE26" s="29"/>
      <c r="AF26" s="29"/>
      <c r="AG26" s="29"/>
      <c r="AH26" s="29"/>
      <c r="AI26" s="29"/>
      <c r="AJ26" s="23"/>
      <c r="AK26" s="23"/>
      <c r="AL26" s="23"/>
      <c r="AM26" s="23"/>
    </row>
    <row r="27" spans="2:39" ht="15.75" thickBot="1" x14ac:dyDescent="0.3">
      <c r="B27" s="16" t="s">
        <v>6</v>
      </c>
      <c r="C27" s="6" t="s">
        <v>10</v>
      </c>
      <c r="D27" s="6" t="s">
        <v>11</v>
      </c>
      <c r="E27" s="6" t="s">
        <v>12</v>
      </c>
      <c r="F27" s="6" t="s">
        <v>13</v>
      </c>
      <c r="G27" s="6" t="s">
        <v>14</v>
      </c>
      <c r="H27" s="6" t="s">
        <v>15</v>
      </c>
      <c r="I27" s="6" t="s">
        <v>16</v>
      </c>
      <c r="J27" s="6" t="s">
        <v>17</v>
      </c>
      <c r="K27" s="6" t="s">
        <v>18</v>
      </c>
      <c r="L27" s="6" t="s">
        <v>19</v>
      </c>
      <c r="M27" s="6" t="s">
        <v>20</v>
      </c>
      <c r="N27" s="8" t="s">
        <v>21</v>
      </c>
      <c r="P27" s="23"/>
      <c r="Q27" s="39">
        <v>46135</v>
      </c>
      <c r="R27" s="38" t="s">
        <v>62</v>
      </c>
      <c r="S27" s="40">
        <v>20000</v>
      </c>
      <c r="T27" s="40">
        <v>30</v>
      </c>
      <c r="U27" s="40">
        <v>30</v>
      </c>
      <c r="V27" s="40" t="s">
        <v>42</v>
      </c>
      <c r="W27" s="40">
        <v>600000</v>
      </c>
      <c r="X27" s="40" t="s">
        <v>35</v>
      </c>
      <c r="Y27" s="40" t="s">
        <v>36</v>
      </c>
      <c r="Z27" s="40" t="s">
        <v>47</v>
      </c>
      <c r="AA27" s="40" t="s">
        <v>43</v>
      </c>
      <c r="AB27" s="23"/>
      <c r="AC27" s="23"/>
      <c r="AD27" s="23"/>
      <c r="AE27" s="29"/>
      <c r="AF27" s="29"/>
      <c r="AG27" s="29"/>
      <c r="AH27" s="29"/>
      <c r="AI27" s="29"/>
      <c r="AJ27" s="23"/>
      <c r="AK27" s="23"/>
      <c r="AL27" s="23"/>
      <c r="AM27" s="23"/>
    </row>
    <row r="28" spans="2:39" x14ac:dyDescent="0.25">
      <c r="B28" s="12" t="s">
        <v>7</v>
      </c>
      <c r="C28" s="32">
        <v>21040</v>
      </c>
      <c r="D28" s="32">
        <v>60000</v>
      </c>
      <c r="E28" s="32">
        <v>302820</v>
      </c>
      <c r="F28" s="32">
        <v>477260</v>
      </c>
      <c r="G28" s="32">
        <v>436070</v>
      </c>
      <c r="H28" s="32">
        <v>484710</v>
      </c>
      <c r="I28" s="32">
        <v>439110</v>
      </c>
      <c r="J28" s="32">
        <v>302020</v>
      </c>
      <c r="K28" s="32">
        <v>248400</v>
      </c>
      <c r="L28" s="32">
        <v>2259900</v>
      </c>
      <c r="M28" s="32">
        <v>1008140</v>
      </c>
      <c r="N28" s="33">
        <v>478550</v>
      </c>
      <c r="P28" s="23"/>
      <c r="Q28" s="39">
        <v>46126</v>
      </c>
      <c r="R28" s="38" t="s">
        <v>62</v>
      </c>
      <c r="S28" s="40">
        <v>20000</v>
      </c>
      <c r="T28" s="40">
        <v>30</v>
      </c>
      <c r="U28" s="40">
        <v>30</v>
      </c>
      <c r="V28" s="40" t="s">
        <v>42</v>
      </c>
      <c r="W28" s="40">
        <v>600000</v>
      </c>
      <c r="X28" s="40" t="s">
        <v>35</v>
      </c>
      <c r="Y28" s="40" t="s">
        <v>36</v>
      </c>
      <c r="Z28" s="40" t="s">
        <v>47</v>
      </c>
      <c r="AA28" s="40" t="s">
        <v>43</v>
      </c>
      <c r="AB28" s="23"/>
      <c r="AC28" s="23"/>
      <c r="AD28" s="23"/>
      <c r="AE28" s="29"/>
      <c r="AF28" s="29"/>
      <c r="AG28" s="29"/>
      <c r="AH28" s="29"/>
      <c r="AI28" s="29"/>
      <c r="AJ28" s="23"/>
      <c r="AK28" s="23"/>
      <c r="AL28" s="23"/>
      <c r="AM28" s="23"/>
    </row>
    <row r="29" spans="2:39" x14ac:dyDescent="0.25">
      <c r="B29" s="12" t="s">
        <v>8</v>
      </c>
      <c r="C29" s="32">
        <v>20000</v>
      </c>
      <c r="D29" s="32">
        <v>107640</v>
      </c>
      <c r="E29" s="32">
        <v>301720</v>
      </c>
      <c r="F29" s="32">
        <v>295160</v>
      </c>
      <c r="G29" s="32">
        <v>354520</v>
      </c>
      <c r="H29" s="32">
        <v>231960</v>
      </c>
      <c r="I29" s="32">
        <v>273040</v>
      </c>
      <c r="J29" s="32">
        <v>273880</v>
      </c>
      <c r="K29" s="32">
        <v>121680</v>
      </c>
      <c r="L29" s="32">
        <v>226200</v>
      </c>
      <c r="M29" s="32">
        <v>245280</v>
      </c>
      <c r="N29" s="33">
        <v>243160</v>
      </c>
      <c r="P29" s="23"/>
      <c r="Q29" s="39">
        <v>46134</v>
      </c>
      <c r="R29" s="38" t="s">
        <v>62</v>
      </c>
      <c r="S29" s="40">
        <v>20000</v>
      </c>
      <c r="T29" s="40">
        <v>26</v>
      </c>
      <c r="U29" s="40">
        <v>26</v>
      </c>
      <c r="V29" s="40" t="s">
        <v>70</v>
      </c>
      <c r="W29" s="40">
        <v>520000</v>
      </c>
      <c r="X29" s="40" t="s">
        <v>35</v>
      </c>
      <c r="Y29" s="40" t="s">
        <v>36</v>
      </c>
      <c r="Z29" s="40" t="s">
        <v>47</v>
      </c>
      <c r="AA29" s="40" t="s">
        <v>71</v>
      </c>
      <c r="AB29" s="23"/>
      <c r="AC29" s="23"/>
      <c r="AD29" s="23"/>
      <c r="AE29" s="29"/>
      <c r="AF29" s="29"/>
      <c r="AG29" s="29"/>
      <c r="AH29" s="29"/>
      <c r="AI29" s="29"/>
      <c r="AJ29" s="23"/>
      <c r="AK29" s="23"/>
      <c r="AL29" s="23"/>
      <c r="AM29" s="23"/>
    </row>
    <row r="30" spans="2:39" ht="15.75" thickBot="1" x14ac:dyDescent="0.3">
      <c r="B30" s="13" t="s">
        <v>9</v>
      </c>
      <c r="C30" s="34">
        <v>0</v>
      </c>
      <c r="D30" s="34">
        <v>0</v>
      </c>
      <c r="E30" s="34">
        <v>81220</v>
      </c>
      <c r="F30" s="34">
        <v>86520</v>
      </c>
      <c r="G30" s="34">
        <v>52540</v>
      </c>
      <c r="H30" s="34">
        <v>58770</v>
      </c>
      <c r="I30" s="34">
        <v>90520</v>
      </c>
      <c r="J30" s="34">
        <v>31000</v>
      </c>
      <c r="K30" s="34">
        <v>46840</v>
      </c>
      <c r="L30" s="34">
        <v>106200</v>
      </c>
      <c r="M30" s="34">
        <v>45280</v>
      </c>
      <c r="N30" s="35">
        <v>60000</v>
      </c>
      <c r="P30" s="23"/>
      <c r="Q30" s="39">
        <v>46119</v>
      </c>
      <c r="R30" s="38" t="s">
        <v>62</v>
      </c>
      <c r="S30" s="40">
        <v>10000</v>
      </c>
      <c r="T30" s="40">
        <v>28</v>
      </c>
      <c r="U30" s="40">
        <v>28</v>
      </c>
      <c r="V30" s="40" t="s">
        <v>66</v>
      </c>
      <c r="W30" s="40">
        <v>280000</v>
      </c>
      <c r="X30" s="40" t="s">
        <v>35</v>
      </c>
      <c r="Y30" s="40" t="s">
        <v>36</v>
      </c>
      <c r="Z30" s="40" t="s">
        <v>47</v>
      </c>
      <c r="AA30" s="40" t="s">
        <v>67</v>
      </c>
      <c r="AB30" s="23"/>
      <c r="AC30" s="23"/>
      <c r="AD30" s="23"/>
      <c r="AE30" s="29"/>
      <c r="AF30" s="29"/>
      <c r="AG30" s="29"/>
      <c r="AH30" s="29"/>
      <c r="AI30" s="29"/>
      <c r="AJ30" s="23"/>
      <c r="AK30" s="23"/>
      <c r="AL30" s="23"/>
      <c r="AM30" s="23"/>
    </row>
    <row r="31" spans="2:39" ht="15.75" thickBot="1" x14ac:dyDescent="0.3">
      <c r="B31" s="2" t="s">
        <v>39</v>
      </c>
      <c r="C31" s="36">
        <f>SUM(C28:C30)</f>
        <v>41040</v>
      </c>
      <c r="D31" s="36">
        <f>SUM(D28:D30)</f>
        <v>167640</v>
      </c>
      <c r="E31" s="36">
        <f t="shared" ref="E31:N31" si="3">SUM(E28:E30)</f>
        <v>685760</v>
      </c>
      <c r="F31" s="36">
        <f t="shared" si="3"/>
        <v>858940</v>
      </c>
      <c r="G31" s="36">
        <f t="shared" si="3"/>
        <v>843130</v>
      </c>
      <c r="H31" s="36">
        <f t="shared" si="3"/>
        <v>775440</v>
      </c>
      <c r="I31" s="36">
        <f t="shared" si="3"/>
        <v>802670</v>
      </c>
      <c r="J31" s="36">
        <f t="shared" si="3"/>
        <v>606900</v>
      </c>
      <c r="K31" s="36">
        <f t="shared" si="3"/>
        <v>416920</v>
      </c>
      <c r="L31" s="36">
        <f t="shared" si="3"/>
        <v>2592300</v>
      </c>
      <c r="M31" s="36">
        <f t="shared" si="3"/>
        <v>1298700</v>
      </c>
      <c r="N31" s="37">
        <f t="shared" si="3"/>
        <v>781710</v>
      </c>
      <c r="Q31" s="39">
        <v>46133</v>
      </c>
      <c r="R31" s="38" t="s">
        <v>62</v>
      </c>
      <c r="S31" s="40">
        <v>10000</v>
      </c>
      <c r="T31" s="40">
        <v>41.5</v>
      </c>
      <c r="U31" s="40">
        <v>41.5</v>
      </c>
      <c r="V31" s="40" t="s">
        <v>70</v>
      </c>
      <c r="W31" s="40">
        <v>415000</v>
      </c>
      <c r="X31" s="40" t="s">
        <v>35</v>
      </c>
      <c r="Y31" s="40" t="s">
        <v>36</v>
      </c>
      <c r="Z31" s="40" t="s">
        <v>47</v>
      </c>
      <c r="AA31" s="40" t="s">
        <v>71</v>
      </c>
      <c r="AB31" s="23"/>
      <c r="AE31" s="21"/>
      <c r="AF31" s="21"/>
      <c r="AG31" s="21"/>
      <c r="AH31" s="21"/>
      <c r="AI31" s="21"/>
    </row>
    <row r="32" spans="2:39" x14ac:dyDescent="0.25">
      <c r="Q32" s="39">
        <v>46125</v>
      </c>
      <c r="R32" s="38" t="s">
        <v>62</v>
      </c>
      <c r="S32" s="40">
        <v>10000</v>
      </c>
      <c r="T32" s="40">
        <v>29</v>
      </c>
      <c r="U32" s="40">
        <v>29</v>
      </c>
      <c r="V32" s="40" t="s">
        <v>70</v>
      </c>
      <c r="W32" s="40">
        <v>290000</v>
      </c>
      <c r="X32" s="40" t="s">
        <v>35</v>
      </c>
      <c r="Y32" s="40" t="s">
        <v>36</v>
      </c>
      <c r="Z32" s="40" t="s">
        <v>47</v>
      </c>
      <c r="AA32" s="40" t="s">
        <v>71</v>
      </c>
      <c r="AB32" s="23"/>
      <c r="AE32" s="21"/>
      <c r="AF32" s="21"/>
      <c r="AG32" s="21"/>
      <c r="AH32" s="21"/>
      <c r="AI32" s="21"/>
    </row>
    <row r="33" spans="17:35" x14ac:dyDescent="0.25">
      <c r="Q33" s="39">
        <v>46127</v>
      </c>
      <c r="R33" s="38" t="s">
        <v>62</v>
      </c>
      <c r="S33" s="40">
        <v>5000</v>
      </c>
      <c r="T33" s="40">
        <v>30.3</v>
      </c>
      <c r="U33" s="40">
        <v>34</v>
      </c>
      <c r="V33" s="40" t="s">
        <v>74</v>
      </c>
      <c r="W33" s="40">
        <v>170000</v>
      </c>
      <c r="X33" s="40" t="s">
        <v>35</v>
      </c>
      <c r="Y33" s="40" t="s">
        <v>36</v>
      </c>
      <c r="Z33" s="40" t="s">
        <v>47</v>
      </c>
      <c r="AA33" s="40" t="s">
        <v>75</v>
      </c>
      <c r="AB33" s="23"/>
      <c r="AE33" s="21"/>
      <c r="AF33" s="21"/>
      <c r="AG33" s="21"/>
      <c r="AH33" s="21"/>
      <c r="AI33" s="21"/>
    </row>
    <row r="34" spans="17:35" x14ac:dyDescent="0.25">
      <c r="Q34" s="39">
        <v>46128</v>
      </c>
      <c r="R34" s="38" t="s">
        <v>62</v>
      </c>
      <c r="S34" s="40">
        <v>3520</v>
      </c>
      <c r="T34" s="40">
        <v>42</v>
      </c>
      <c r="U34" s="40">
        <v>43.21</v>
      </c>
      <c r="V34" s="40" t="s">
        <v>76</v>
      </c>
      <c r="W34" s="40">
        <v>152099.20000000001</v>
      </c>
      <c r="X34" s="40" t="s">
        <v>35</v>
      </c>
      <c r="Y34" s="40" t="s">
        <v>36</v>
      </c>
      <c r="Z34" s="40" t="s">
        <v>47</v>
      </c>
      <c r="AA34" s="40" t="s">
        <v>77</v>
      </c>
      <c r="AB34" s="23"/>
      <c r="AE34" s="21"/>
      <c r="AF34" s="21"/>
      <c r="AG34" s="21"/>
      <c r="AH34" s="21"/>
      <c r="AI34" s="21"/>
    </row>
    <row r="35" spans="17:35" x14ac:dyDescent="0.25">
      <c r="Q35" s="39">
        <v>46121</v>
      </c>
      <c r="R35" s="38" t="s">
        <v>62</v>
      </c>
      <c r="S35" s="40">
        <v>3000</v>
      </c>
      <c r="T35" s="40">
        <v>30</v>
      </c>
      <c r="U35" s="40">
        <v>30</v>
      </c>
      <c r="V35" s="40" t="s">
        <v>78</v>
      </c>
      <c r="W35" s="40">
        <v>90000</v>
      </c>
      <c r="X35" s="40" t="s">
        <v>35</v>
      </c>
      <c r="Y35" s="40" t="s">
        <v>36</v>
      </c>
      <c r="Z35" s="40" t="s">
        <v>47</v>
      </c>
      <c r="AA35" s="40" t="s">
        <v>79</v>
      </c>
      <c r="AB35" s="23"/>
      <c r="AE35" s="21"/>
      <c r="AF35" s="21"/>
      <c r="AG35" s="21"/>
      <c r="AH35" s="21"/>
      <c r="AI35" s="21"/>
    </row>
    <row r="36" spans="17:35" x14ac:dyDescent="0.25">
      <c r="Q36" s="39">
        <v>46118</v>
      </c>
      <c r="R36" s="38" t="s">
        <v>62</v>
      </c>
      <c r="S36" s="40">
        <v>3000</v>
      </c>
      <c r="T36" s="40">
        <v>28</v>
      </c>
      <c r="U36" s="40">
        <v>28</v>
      </c>
      <c r="V36" s="40" t="s">
        <v>80</v>
      </c>
      <c r="W36" s="40">
        <v>84000</v>
      </c>
      <c r="X36" s="40" t="s">
        <v>35</v>
      </c>
      <c r="Y36" s="40" t="s">
        <v>36</v>
      </c>
      <c r="Z36" s="40" t="s">
        <v>47</v>
      </c>
      <c r="AA36" s="40" t="s">
        <v>81</v>
      </c>
      <c r="AB36" s="23"/>
      <c r="AE36" s="21"/>
      <c r="AF36" s="21"/>
      <c r="AG36" s="21"/>
      <c r="AH36" s="21"/>
      <c r="AI36" s="21"/>
    </row>
    <row r="37" spans="17:35" x14ac:dyDescent="0.25">
      <c r="Q37" s="39">
        <v>46126</v>
      </c>
      <c r="R37" s="38" t="s">
        <v>62</v>
      </c>
      <c r="S37" s="40">
        <v>2000</v>
      </c>
      <c r="T37" s="40">
        <v>33.5</v>
      </c>
      <c r="U37" s="40">
        <v>33.5</v>
      </c>
      <c r="V37" s="40" t="s">
        <v>82</v>
      </c>
      <c r="W37" s="40">
        <v>67000</v>
      </c>
      <c r="X37" s="40" t="s">
        <v>35</v>
      </c>
      <c r="Y37" s="40" t="s">
        <v>36</v>
      </c>
      <c r="Z37" s="40" t="s">
        <v>47</v>
      </c>
      <c r="AA37" s="40" t="s">
        <v>83</v>
      </c>
      <c r="AB37" s="23"/>
      <c r="AE37" s="21"/>
      <c r="AF37" s="21"/>
      <c r="AG37" s="21"/>
      <c r="AH37" s="21"/>
      <c r="AI37" s="21"/>
    </row>
    <row r="38" spans="17:35" x14ac:dyDescent="0.25">
      <c r="Q38" s="39">
        <v>46120</v>
      </c>
      <c r="R38" s="38" t="s">
        <v>62</v>
      </c>
      <c r="S38" s="40">
        <v>520</v>
      </c>
      <c r="T38" s="40">
        <v>33.5</v>
      </c>
      <c r="U38" s="40">
        <v>33.5</v>
      </c>
      <c r="V38" s="40" t="s">
        <v>84</v>
      </c>
      <c r="W38" s="40">
        <v>17420</v>
      </c>
      <c r="X38" s="40" t="s">
        <v>35</v>
      </c>
      <c r="Y38" s="40" t="s">
        <v>36</v>
      </c>
      <c r="Z38" s="40" t="s">
        <v>47</v>
      </c>
      <c r="AA38" s="40" t="s">
        <v>85</v>
      </c>
      <c r="AB38" s="23"/>
      <c r="AE38" s="21"/>
      <c r="AF38" s="21"/>
      <c r="AG38" s="21"/>
      <c r="AH38" s="21"/>
      <c r="AI38" s="21"/>
    </row>
    <row r="39" spans="17:35" x14ac:dyDescent="0.25">
      <c r="Q39" s="39">
        <v>46142</v>
      </c>
      <c r="R39" s="38" t="s">
        <v>62</v>
      </c>
      <c r="S39" s="40">
        <v>46142</v>
      </c>
      <c r="T39" s="40">
        <v>28</v>
      </c>
      <c r="U39" s="40">
        <v>34.5</v>
      </c>
      <c r="V39" s="40" t="s">
        <v>86</v>
      </c>
      <c r="W39" s="40">
        <v>690000</v>
      </c>
      <c r="X39" s="40" t="s">
        <v>58</v>
      </c>
      <c r="Y39" s="40" t="s">
        <v>36</v>
      </c>
      <c r="Z39" s="40" t="s">
        <v>47</v>
      </c>
      <c r="AA39" s="40" t="s">
        <v>87</v>
      </c>
      <c r="AB39" s="23"/>
      <c r="AE39" s="21"/>
      <c r="AF39" s="21"/>
      <c r="AG39" s="21"/>
      <c r="AH39" s="21"/>
      <c r="AI39" s="21"/>
    </row>
    <row r="40" spans="17:35" x14ac:dyDescent="0.25">
      <c r="Q40" s="39">
        <v>46141</v>
      </c>
      <c r="R40" s="38" t="s">
        <v>62</v>
      </c>
      <c r="S40" s="40">
        <v>46141</v>
      </c>
      <c r="T40" s="40">
        <v>29.9</v>
      </c>
      <c r="U40" s="40">
        <v>35.549999999999997</v>
      </c>
      <c r="V40" s="40" t="s">
        <v>88</v>
      </c>
      <c r="W40" s="40">
        <v>2400336</v>
      </c>
      <c r="X40" s="40" t="s">
        <v>58</v>
      </c>
      <c r="Y40" s="40" t="s">
        <v>36</v>
      </c>
      <c r="Z40" s="40" t="s">
        <v>47</v>
      </c>
      <c r="AA40" s="40" t="s">
        <v>89</v>
      </c>
      <c r="AB40" s="23"/>
      <c r="AE40" s="21"/>
      <c r="AF40" s="21"/>
      <c r="AG40" s="21"/>
      <c r="AH40" s="21"/>
      <c r="AI40" s="21"/>
    </row>
    <row r="41" spans="17:35" x14ac:dyDescent="0.25">
      <c r="AB41" s="23"/>
      <c r="AE41" s="21"/>
      <c r="AF41" s="21"/>
      <c r="AG41" s="21"/>
      <c r="AH41" s="21"/>
      <c r="AI41" s="21"/>
    </row>
    <row r="42" spans="17:35" x14ac:dyDescent="0.25">
      <c r="AB42" s="23"/>
      <c r="AE42" s="21"/>
      <c r="AF42" s="21"/>
      <c r="AG42" s="21"/>
      <c r="AH42" s="21"/>
      <c r="AI42" s="21"/>
    </row>
    <row r="43" spans="17:35" x14ac:dyDescent="0.25">
      <c r="AB43" s="23"/>
      <c r="AE43" s="21"/>
      <c r="AF43" s="21"/>
      <c r="AG43" s="21"/>
      <c r="AH43" s="21"/>
      <c r="AI43" s="21"/>
    </row>
    <row r="44" spans="17:35" x14ac:dyDescent="0.25">
      <c r="AB44" s="23"/>
      <c r="AE44" s="21"/>
      <c r="AF44" s="21"/>
      <c r="AG44" s="21"/>
      <c r="AH44" s="21"/>
      <c r="AI44" s="21"/>
    </row>
    <row r="45" spans="17:35" x14ac:dyDescent="0.25">
      <c r="AB45" s="23"/>
      <c r="AE45" s="21"/>
      <c r="AF45" s="21"/>
      <c r="AG45" s="21"/>
      <c r="AH45" s="21"/>
      <c r="AI45" s="21"/>
    </row>
    <row r="46" spans="17:35" x14ac:dyDescent="0.25">
      <c r="AB46" s="23"/>
      <c r="AC46" s="20"/>
      <c r="AE46" s="21"/>
      <c r="AF46" s="21"/>
      <c r="AG46" s="21"/>
      <c r="AH46" s="21"/>
      <c r="AI46" s="21"/>
    </row>
    <row r="47" spans="17:35" x14ac:dyDescent="0.25">
      <c r="AE47" s="21"/>
      <c r="AF47" s="21"/>
      <c r="AG47" s="21"/>
      <c r="AH47" s="21"/>
      <c r="AI47" s="21"/>
    </row>
    <row r="48" spans="17:35" x14ac:dyDescent="0.25">
      <c r="AE48" s="21"/>
      <c r="AF48" s="21"/>
      <c r="AG48" s="21"/>
      <c r="AH48" s="21"/>
      <c r="AI48" s="21"/>
    </row>
    <row r="49" spans="29:35" x14ac:dyDescent="0.25">
      <c r="AC49" s="20"/>
      <c r="AE49" s="21"/>
      <c r="AF49" s="21"/>
      <c r="AG49" s="21"/>
      <c r="AH49" s="21"/>
      <c r="AI49" s="21"/>
    </row>
    <row r="50" spans="29:35" x14ac:dyDescent="0.25">
      <c r="AE50" s="21"/>
      <c r="AF50" s="21"/>
      <c r="AG50" s="21"/>
      <c r="AH50" s="21"/>
      <c r="AI50" s="21"/>
    </row>
    <row r="51" spans="29:35" x14ac:dyDescent="0.25">
      <c r="AE51" s="21"/>
      <c r="AF51" s="21"/>
      <c r="AG51" s="21"/>
      <c r="AH51" s="21"/>
      <c r="AI51" s="21"/>
    </row>
    <row r="52" spans="29:35" x14ac:dyDescent="0.25">
      <c r="AE52" s="21"/>
      <c r="AF52" s="21"/>
      <c r="AG52" s="21"/>
      <c r="AH52" s="21"/>
      <c r="AI52" s="21"/>
    </row>
    <row r="53" spans="29:35" x14ac:dyDescent="0.25">
      <c r="AE53" s="21"/>
      <c r="AF53" s="21"/>
      <c r="AG53" s="21"/>
      <c r="AH53" s="21"/>
      <c r="AI53" s="21"/>
    </row>
    <row r="54" spans="29:35" x14ac:dyDescent="0.25">
      <c r="AE54" s="21"/>
      <c r="AF54" s="21"/>
      <c r="AG54" s="21"/>
      <c r="AH54" s="21"/>
      <c r="AI54" s="21"/>
    </row>
    <row r="55" spans="29:35" x14ac:dyDescent="0.25">
      <c r="AE55" s="21"/>
      <c r="AF55" s="21"/>
      <c r="AG55" s="21"/>
      <c r="AH55" s="21"/>
      <c r="AI55" s="21"/>
    </row>
    <row r="56" spans="29:35" x14ac:dyDescent="0.25">
      <c r="AE56" s="21"/>
      <c r="AF56" s="21"/>
      <c r="AG56" s="21"/>
      <c r="AH56" s="21"/>
      <c r="AI56" s="21"/>
    </row>
    <row r="57" spans="29:35" x14ac:dyDescent="0.25">
      <c r="AE57" s="21"/>
      <c r="AF57" s="21"/>
      <c r="AG57" s="21"/>
      <c r="AH57" s="21"/>
      <c r="AI57" s="21"/>
    </row>
    <row r="58" spans="29:35" x14ac:dyDescent="0.25">
      <c r="AE58" s="21"/>
      <c r="AF58" s="21"/>
      <c r="AG58" s="21"/>
      <c r="AH58" s="21"/>
      <c r="AI58" s="21"/>
    </row>
    <row r="59" spans="29:35" x14ac:dyDescent="0.25">
      <c r="AE59" s="21"/>
      <c r="AF59" s="21"/>
      <c r="AG59" s="21"/>
      <c r="AH59" s="21"/>
      <c r="AI59" s="21"/>
    </row>
    <row r="60" spans="29:35" x14ac:dyDescent="0.25">
      <c r="AE60" s="21"/>
      <c r="AF60" s="21"/>
      <c r="AG60" s="21"/>
      <c r="AH60" s="21"/>
      <c r="AI60" s="21"/>
    </row>
    <row r="61" spans="29:35" x14ac:dyDescent="0.25">
      <c r="AE61" s="21"/>
      <c r="AF61" s="21"/>
      <c r="AG61" s="21"/>
      <c r="AH61" s="21"/>
      <c r="AI61" s="21"/>
    </row>
    <row r="62" spans="29:35" x14ac:dyDescent="0.25">
      <c r="AE62" s="21"/>
      <c r="AF62" s="21"/>
      <c r="AG62" s="21"/>
      <c r="AH62" s="21"/>
      <c r="AI62" s="21"/>
    </row>
    <row r="63" spans="29:35" x14ac:dyDescent="0.25">
      <c r="AE63" s="21"/>
      <c r="AF63" s="21"/>
      <c r="AG63" s="21"/>
      <c r="AH63" s="21"/>
      <c r="AI63" s="21"/>
    </row>
    <row r="64" spans="29:35" x14ac:dyDescent="0.25">
      <c r="AE64" s="21"/>
      <c r="AF64" s="21"/>
      <c r="AG64" s="21"/>
      <c r="AH64" s="21"/>
      <c r="AI64" s="21"/>
    </row>
    <row r="65" spans="29:35" x14ac:dyDescent="0.25">
      <c r="AE65" s="21"/>
      <c r="AF65" s="21"/>
      <c r="AG65" s="21"/>
      <c r="AH65" s="21"/>
      <c r="AI65" s="21"/>
    </row>
    <row r="66" spans="29:35" x14ac:dyDescent="0.25">
      <c r="AE66" s="21"/>
      <c r="AF66" s="21"/>
      <c r="AG66" s="21"/>
      <c r="AH66" s="21"/>
      <c r="AI66" s="21"/>
    </row>
    <row r="67" spans="29:35" x14ac:dyDescent="0.25">
      <c r="AE67" s="21"/>
      <c r="AF67" s="21"/>
      <c r="AG67" s="21"/>
      <c r="AH67" s="21"/>
      <c r="AI67" s="21"/>
    </row>
    <row r="68" spans="29:35" x14ac:dyDescent="0.25">
      <c r="AE68" s="21"/>
      <c r="AF68" s="21"/>
      <c r="AG68" s="21"/>
      <c r="AH68" s="21"/>
      <c r="AI68" s="21"/>
    </row>
    <row r="69" spans="29:35" x14ac:dyDescent="0.25">
      <c r="AE69" s="21"/>
      <c r="AF69" s="21"/>
      <c r="AG69" s="21"/>
      <c r="AH69" s="21"/>
      <c r="AI69" s="21"/>
    </row>
    <row r="70" spans="29:35" x14ac:dyDescent="0.25">
      <c r="AE70" s="21"/>
      <c r="AF70" s="21"/>
      <c r="AG70" s="21"/>
      <c r="AH70" s="21"/>
      <c r="AI70" s="21"/>
    </row>
    <row r="71" spans="29:35" x14ac:dyDescent="0.25">
      <c r="AE71" s="21"/>
      <c r="AF71" s="21"/>
      <c r="AG71" s="21"/>
      <c r="AH71" s="21"/>
      <c r="AI71" s="21"/>
    </row>
    <row r="72" spans="29:35" x14ac:dyDescent="0.25">
      <c r="AE72" s="21"/>
      <c r="AF72" s="21"/>
      <c r="AG72" s="21"/>
      <c r="AH72" s="21"/>
      <c r="AI72" s="21"/>
    </row>
    <row r="73" spans="29:35" x14ac:dyDescent="0.25">
      <c r="AE73" s="21"/>
      <c r="AF73" s="21"/>
      <c r="AG73" s="21"/>
      <c r="AH73" s="21"/>
      <c r="AI73" s="21"/>
    </row>
    <row r="74" spans="29:35" x14ac:dyDescent="0.25">
      <c r="AE74" s="21"/>
      <c r="AF74" s="21"/>
      <c r="AG74" s="21"/>
      <c r="AH74" s="21"/>
      <c r="AI74" s="21"/>
    </row>
    <row r="75" spans="29:35" x14ac:dyDescent="0.25">
      <c r="AE75" s="21"/>
      <c r="AF75" s="21"/>
      <c r="AG75" s="21"/>
      <c r="AH75" s="21"/>
      <c r="AI75" s="21"/>
    </row>
    <row r="76" spans="29:35" x14ac:dyDescent="0.25">
      <c r="AE76" s="21"/>
      <c r="AF76" s="21"/>
      <c r="AG76" s="21"/>
      <c r="AH76" s="21"/>
      <c r="AI76" s="21"/>
    </row>
    <row r="77" spans="29:35" x14ac:dyDescent="0.25">
      <c r="AC77" s="20"/>
      <c r="AE77" s="21"/>
      <c r="AF77" s="21"/>
      <c r="AG77" s="21"/>
      <c r="AH77" s="21"/>
      <c r="AI77" s="21"/>
    </row>
    <row r="78" spans="29:35" x14ac:dyDescent="0.25">
      <c r="AE78" s="21"/>
      <c r="AF78" s="21"/>
      <c r="AG78" s="21"/>
      <c r="AH78" s="21"/>
      <c r="AI78" s="21"/>
    </row>
    <row r="79" spans="29:35" x14ac:dyDescent="0.25">
      <c r="AC79" s="20"/>
      <c r="AE79" s="21"/>
      <c r="AF79" s="21"/>
      <c r="AG79" s="21"/>
      <c r="AH79" s="21"/>
      <c r="AI79" s="21"/>
    </row>
    <row r="80" spans="29:35" x14ac:dyDescent="0.25">
      <c r="AE80" s="21"/>
      <c r="AF80" s="21"/>
      <c r="AG80" s="21"/>
      <c r="AH80" s="21"/>
      <c r="AI80" s="21"/>
    </row>
    <row r="81" spans="31:35" x14ac:dyDescent="0.25">
      <c r="AE81" s="21"/>
      <c r="AF81" s="21"/>
      <c r="AG81" s="21"/>
      <c r="AH81" s="21"/>
      <c r="AI81" s="21"/>
    </row>
    <row r="82" spans="31:35" x14ac:dyDescent="0.25">
      <c r="AE82" s="21"/>
      <c r="AF82" s="21"/>
      <c r="AG82" s="21"/>
      <c r="AH82" s="21"/>
      <c r="AI82" s="21"/>
    </row>
    <row r="83" spans="31:35" x14ac:dyDescent="0.25">
      <c r="AE83" s="21"/>
      <c r="AF83" s="21"/>
      <c r="AG83" s="21"/>
      <c r="AH83" s="21"/>
      <c r="AI83" s="21"/>
    </row>
    <row r="84" spans="31:35" x14ac:dyDescent="0.25">
      <c r="AE84" s="21"/>
      <c r="AF84" s="21"/>
      <c r="AG84" s="21"/>
      <c r="AH84" s="21"/>
      <c r="AI84" s="21"/>
    </row>
    <row r="85" spans="31:35" x14ac:dyDescent="0.25">
      <c r="AE85" s="21"/>
      <c r="AF85" s="21"/>
      <c r="AG85" s="21"/>
      <c r="AH85" s="21"/>
      <c r="AI85" s="21"/>
    </row>
    <row r="86" spans="31:35" x14ac:dyDescent="0.25">
      <c r="AE86" s="21"/>
      <c r="AF86" s="21"/>
      <c r="AG86" s="21"/>
      <c r="AH86" s="21"/>
      <c r="AI86" s="21"/>
    </row>
    <row r="87" spans="31:35" x14ac:dyDescent="0.25">
      <c r="AE87" s="21"/>
      <c r="AF87" s="21"/>
      <c r="AG87" s="21"/>
      <c r="AH87" s="21"/>
      <c r="AI87" s="21"/>
    </row>
    <row r="88" spans="31:35" x14ac:dyDescent="0.25">
      <c r="AE88" s="21"/>
      <c r="AF88" s="21"/>
      <c r="AG88" s="21"/>
      <c r="AH88" s="21"/>
      <c r="AI88" s="21"/>
    </row>
    <row r="89" spans="31:35" x14ac:dyDescent="0.25">
      <c r="AE89" s="21"/>
      <c r="AF89" s="21"/>
      <c r="AG89" s="21"/>
      <c r="AH89" s="21"/>
      <c r="AI89" s="21"/>
    </row>
    <row r="90" spans="31:35" x14ac:dyDescent="0.25">
      <c r="AE90" s="21"/>
      <c r="AF90" s="21"/>
      <c r="AG90" s="21"/>
      <c r="AH90" s="21"/>
      <c r="AI90" s="21"/>
    </row>
    <row r="91" spans="31:35" x14ac:dyDescent="0.25">
      <c r="AE91" s="21"/>
      <c r="AF91" s="21"/>
      <c r="AG91" s="21"/>
      <c r="AH91" s="21"/>
      <c r="AI91" s="21"/>
    </row>
    <row r="92" spans="31:35" x14ac:dyDescent="0.25">
      <c r="AE92" s="21"/>
      <c r="AF92" s="21"/>
      <c r="AG92" s="21"/>
      <c r="AH92" s="21"/>
      <c r="AI92" s="21"/>
    </row>
    <row r="93" spans="31:35" x14ac:dyDescent="0.25">
      <c r="AE93" s="21"/>
      <c r="AF93" s="21"/>
      <c r="AG93" s="21"/>
      <c r="AH93" s="21"/>
      <c r="AI93" s="21"/>
    </row>
    <row r="94" spans="31:35" x14ac:dyDescent="0.25">
      <c r="AE94" s="21"/>
      <c r="AF94" s="21"/>
      <c r="AG94" s="21"/>
      <c r="AH94" s="21"/>
      <c r="AI94" s="21"/>
    </row>
    <row r="95" spans="31:35" x14ac:dyDescent="0.25">
      <c r="AE95" s="21"/>
      <c r="AF95" s="21"/>
      <c r="AG95" s="21"/>
      <c r="AH95" s="21"/>
      <c r="AI95" s="21"/>
    </row>
    <row r="96" spans="31:35" x14ac:dyDescent="0.25">
      <c r="AE96" s="21"/>
      <c r="AF96" s="21"/>
      <c r="AG96" s="21"/>
      <c r="AH96" s="21"/>
      <c r="AI96" s="21"/>
    </row>
    <row r="97" spans="29:35" x14ac:dyDescent="0.25">
      <c r="AE97" s="21"/>
      <c r="AF97" s="21"/>
      <c r="AG97" s="21"/>
      <c r="AH97" s="21"/>
      <c r="AI97" s="21"/>
    </row>
    <row r="98" spans="29:35" x14ac:dyDescent="0.25">
      <c r="AE98" s="21"/>
      <c r="AF98" s="21"/>
      <c r="AG98" s="21"/>
      <c r="AH98" s="21"/>
      <c r="AI98" s="21"/>
    </row>
    <row r="99" spans="29:35" x14ac:dyDescent="0.25">
      <c r="AE99" s="21"/>
      <c r="AF99" s="21"/>
      <c r="AG99" s="21"/>
      <c r="AH99" s="21"/>
      <c r="AI99" s="21"/>
    </row>
    <row r="100" spans="29:35" x14ac:dyDescent="0.25">
      <c r="AE100" s="21"/>
      <c r="AF100" s="21"/>
      <c r="AG100" s="21"/>
      <c r="AH100" s="21"/>
      <c r="AI100" s="21"/>
    </row>
    <row r="101" spans="29:35" x14ac:dyDescent="0.25">
      <c r="AE101" s="21"/>
      <c r="AF101" s="21"/>
      <c r="AG101" s="21"/>
      <c r="AH101" s="21"/>
      <c r="AI101" s="21"/>
    </row>
    <row r="102" spans="29:35" x14ac:dyDescent="0.25">
      <c r="AE102" s="21"/>
      <c r="AF102" s="21"/>
      <c r="AG102" s="21"/>
      <c r="AH102" s="21"/>
      <c r="AI102" s="21"/>
    </row>
    <row r="103" spans="29:35" x14ac:dyDescent="0.25">
      <c r="AE103" s="21"/>
      <c r="AF103" s="21"/>
      <c r="AG103" s="21"/>
      <c r="AH103" s="21"/>
      <c r="AI103" s="21"/>
    </row>
    <row r="104" spans="29:35" x14ac:dyDescent="0.25">
      <c r="AE104" s="21"/>
      <c r="AF104" s="21"/>
      <c r="AG104" s="21"/>
      <c r="AH104" s="21"/>
      <c r="AI104" s="21"/>
    </row>
    <row r="105" spans="29:35" x14ac:dyDescent="0.25">
      <c r="AE105" s="21"/>
      <c r="AF105" s="21"/>
      <c r="AG105" s="21"/>
      <c r="AH105" s="21"/>
      <c r="AI105" s="21"/>
    </row>
    <row r="106" spans="29:35" x14ac:dyDescent="0.25">
      <c r="AE106" s="21"/>
      <c r="AF106" s="21"/>
      <c r="AG106" s="21"/>
      <c r="AH106" s="21"/>
      <c r="AI106" s="21"/>
    </row>
    <row r="107" spans="29:35" x14ac:dyDescent="0.25">
      <c r="AC107" s="20"/>
      <c r="AE107" s="21"/>
      <c r="AF107" s="21"/>
      <c r="AG107" s="21"/>
      <c r="AH107" s="21"/>
      <c r="AI107" s="21"/>
    </row>
    <row r="108" spans="29:35" x14ac:dyDescent="0.25">
      <c r="AE108" s="21"/>
      <c r="AF108" s="21"/>
      <c r="AG108" s="21"/>
      <c r="AH108" s="21"/>
      <c r="AI108" s="21"/>
    </row>
    <row r="109" spans="29:35" x14ac:dyDescent="0.25">
      <c r="AC109" s="20"/>
      <c r="AE109" s="21"/>
      <c r="AF109" s="21"/>
      <c r="AG109" s="21"/>
      <c r="AH109" s="21"/>
      <c r="AI109" s="21"/>
    </row>
    <row r="110" spans="29:35" x14ac:dyDescent="0.25">
      <c r="AE110" s="21"/>
      <c r="AF110" s="21"/>
      <c r="AG110" s="21"/>
      <c r="AH110" s="21"/>
      <c r="AI110" s="21"/>
    </row>
    <row r="111" spans="29:35" x14ac:dyDescent="0.25">
      <c r="AE111" s="21"/>
      <c r="AF111" s="21"/>
      <c r="AG111" s="21"/>
      <c r="AH111" s="21"/>
      <c r="AI111" s="21"/>
    </row>
    <row r="112" spans="29:35" x14ac:dyDescent="0.25">
      <c r="AE112" s="21"/>
      <c r="AF112" s="21"/>
      <c r="AG112" s="21"/>
      <c r="AH112" s="21"/>
      <c r="AI112" s="21"/>
    </row>
    <row r="113" spans="31:35" x14ac:dyDescent="0.25">
      <c r="AE113" s="21"/>
      <c r="AF113" s="21"/>
      <c r="AG113" s="21"/>
      <c r="AH113" s="21"/>
      <c r="AI113" s="21"/>
    </row>
    <row r="114" spans="31:35" x14ac:dyDescent="0.25">
      <c r="AE114" s="21"/>
      <c r="AF114" s="21"/>
      <c r="AG114" s="21"/>
      <c r="AH114" s="21"/>
      <c r="AI114" s="21"/>
    </row>
    <row r="115" spans="31:35" x14ac:dyDescent="0.25">
      <c r="AE115" s="21"/>
      <c r="AF115" s="21"/>
      <c r="AG115" s="21"/>
      <c r="AH115" s="21"/>
      <c r="AI115" s="21"/>
    </row>
    <row r="116" spans="31:35" x14ac:dyDescent="0.25">
      <c r="AE116" s="21"/>
      <c r="AF116" s="21"/>
      <c r="AG116" s="21"/>
      <c r="AH116" s="21"/>
      <c r="AI116" s="21"/>
    </row>
    <row r="117" spans="31:35" x14ac:dyDescent="0.25">
      <c r="AE117" s="21"/>
      <c r="AF117" s="21"/>
      <c r="AG117" s="21"/>
      <c r="AH117" s="21"/>
      <c r="AI117" s="21"/>
    </row>
    <row r="118" spans="31:35" x14ac:dyDescent="0.25">
      <c r="AE118" s="21"/>
      <c r="AF118" s="21"/>
      <c r="AG118" s="21"/>
      <c r="AH118" s="21"/>
      <c r="AI118" s="21"/>
    </row>
    <row r="119" spans="31:35" x14ac:dyDescent="0.25">
      <c r="AE119" s="21"/>
      <c r="AF119" s="21"/>
      <c r="AG119" s="21"/>
      <c r="AH119" s="21"/>
      <c r="AI119" s="21"/>
    </row>
    <row r="120" spans="31:35" x14ac:dyDescent="0.25">
      <c r="AE120" s="21"/>
      <c r="AF120" s="21"/>
      <c r="AG120" s="21"/>
      <c r="AH120" s="21"/>
      <c r="AI120" s="21"/>
    </row>
    <row r="121" spans="31:35" x14ac:dyDescent="0.25">
      <c r="AE121" s="21"/>
      <c r="AF121" s="21"/>
      <c r="AG121" s="21"/>
      <c r="AH121" s="21"/>
      <c r="AI121" s="21"/>
    </row>
    <row r="122" spans="31:35" x14ac:dyDescent="0.25">
      <c r="AE122" s="21"/>
      <c r="AF122" s="21"/>
      <c r="AG122" s="21"/>
      <c r="AH122" s="21"/>
      <c r="AI122" s="21"/>
    </row>
    <row r="123" spans="31:35" x14ac:dyDescent="0.25">
      <c r="AE123" s="21"/>
      <c r="AF123" s="21"/>
      <c r="AG123" s="21"/>
      <c r="AH123" s="21"/>
      <c r="AI123" s="21"/>
    </row>
    <row r="124" spans="31:35" x14ac:dyDescent="0.25">
      <c r="AE124" s="21"/>
      <c r="AF124" s="21"/>
      <c r="AG124" s="21"/>
      <c r="AH124" s="21"/>
      <c r="AI124" s="21"/>
    </row>
    <row r="125" spans="31:35" x14ac:dyDescent="0.25">
      <c r="AE125" s="21"/>
      <c r="AF125" s="21"/>
      <c r="AG125" s="21"/>
      <c r="AH125" s="21"/>
      <c r="AI125" s="21"/>
    </row>
    <row r="126" spans="31:35" x14ac:dyDescent="0.25">
      <c r="AE126" s="21"/>
      <c r="AF126" s="21"/>
      <c r="AG126" s="21"/>
      <c r="AH126" s="21"/>
      <c r="AI126" s="21"/>
    </row>
    <row r="127" spans="31:35" x14ac:dyDescent="0.25">
      <c r="AE127" s="21"/>
      <c r="AF127" s="21"/>
      <c r="AG127" s="21"/>
      <c r="AH127" s="21"/>
      <c r="AI127" s="21"/>
    </row>
    <row r="128" spans="31:35" x14ac:dyDescent="0.25">
      <c r="AE128" s="21"/>
      <c r="AF128" s="21"/>
      <c r="AG128" s="21"/>
      <c r="AH128" s="21"/>
      <c r="AI128" s="21"/>
    </row>
    <row r="129" spans="29:35" x14ac:dyDescent="0.25">
      <c r="AE129" s="21"/>
      <c r="AF129" s="21"/>
      <c r="AG129" s="21"/>
      <c r="AH129" s="21"/>
      <c r="AI129" s="21"/>
    </row>
    <row r="130" spans="29:35" x14ac:dyDescent="0.25">
      <c r="AE130" s="21"/>
      <c r="AF130" s="21"/>
      <c r="AG130" s="21"/>
      <c r="AH130" s="21"/>
      <c r="AI130" s="21"/>
    </row>
    <row r="131" spans="29:35" x14ac:dyDescent="0.25">
      <c r="AE131" s="21"/>
      <c r="AF131" s="21"/>
      <c r="AG131" s="21"/>
      <c r="AH131" s="21"/>
      <c r="AI131" s="21"/>
    </row>
    <row r="132" spans="29:35" x14ac:dyDescent="0.25">
      <c r="AE132" s="21"/>
      <c r="AF132" s="21"/>
      <c r="AG132" s="21"/>
      <c r="AH132" s="21"/>
      <c r="AI132" s="21"/>
    </row>
    <row r="133" spans="29:35" x14ac:dyDescent="0.25">
      <c r="AE133" s="21"/>
      <c r="AF133" s="21"/>
      <c r="AG133" s="21"/>
      <c r="AH133" s="21"/>
      <c r="AI133" s="21"/>
    </row>
    <row r="134" spans="29:35" x14ac:dyDescent="0.25">
      <c r="AE134" s="21"/>
      <c r="AF134" s="21"/>
      <c r="AG134" s="21"/>
      <c r="AH134" s="21"/>
      <c r="AI134" s="21"/>
    </row>
    <row r="135" spans="29:35" x14ac:dyDescent="0.25">
      <c r="AE135" s="21"/>
      <c r="AF135" s="21"/>
      <c r="AG135" s="21"/>
      <c r="AH135" s="21"/>
      <c r="AI135" s="21"/>
    </row>
    <row r="136" spans="29:35" x14ac:dyDescent="0.25">
      <c r="AE136" s="21"/>
      <c r="AF136" s="21"/>
      <c r="AG136" s="21"/>
      <c r="AH136" s="21"/>
      <c r="AI136" s="21"/>
    </row>
    <row r="137" spans="29:35" x14ac:dyDescent="0.25">
      <c r="AC137" s="20"/>
      <c r="AE137" s="21"/>
      <c r="AF137" s="21"/>
      <c r="AG137" s="21"/>
      <c r="AH137" s="21"/>
      <c r="AI137" s="21"/>
    </row>
    <row r="138" spans="29:35" x14ac:dyDescent="0.25">
      <c r="AE138" s="21"/>
      <c r="AF138" s="21"/>
      <c r="AG138" s="21"/>
      <c r="AH138" s="21"/>
      <c r="AI138" s="21"/>
    </row>
    <row r="139" spans="29:35" x14ac:dyDescent="0.25">
      <c r="AC139" s="20"/>
      <c r="AE139" s="21"/>
      <c r="AF139" s="21"/>
      <c r="AG139" s="21"/>
      <c r="AH139" s="21"/>
      <c r="AI139" s="21"/>
    </row>
    <row r="140" spans="29:35" x14ac:dyDescent="0.25">
      <c r="AE140" s="21"/>
      <c r="AF140" s="21"/>
      <c r="AG140" s="21"/>
      <c r="AH140" s="21"/>
      <c r="AI140" s="21"/>
    </row>
    <row r="141" spans="29:35" x14ac:dyDescent="0.25">
      <c r="AE141" s="21"/>
      <c r="AF141" s="21"/>
      <c r="AG141" s="21"/>
      <c r="AH141" s="21"/>
      <c r="AI141" s="21"/>
    </row>
    <row r="142" spans="29:35" x14ac:dyDescent="0.25">
      <c r="AE142" s="21"/>
      <c r="AF142" s="21"/>
      <c r="AG142" s="21"/>
      <c r="AH142" s="21"/>
      <c r="AI142" s="21"/>
    </row>
    <row r="143" spans="29:35" x14ac:dyDescent="0.25">
      <c r="AE143" s="21"/>
      <c r="AF143" s="21"/>
      <c r="AG143" s="21"/>
      <c r="AH143" s="21"/>
      <c r="AI143" s="21"/>
    </row>
    <row r="144" spans="29:35" x14ac:dyDescent="0.25">
      <c r="AE144" s="21"/>
      <c r="AF144" s="21"/>
      <c r="AG144" s="21"/>
      <c r="AH144" s="21"/>
      <c r="AI144" s="21"/>
    </row>
    <row r="145" spans="31:35" x14ac:dyDescent="0.25">
      <c r="AE145" s="21"/>
      <c r="AF145" s="21"/>
      <c r="AG145" s="21"/>
      <c r="AH145" s="21"/>
      <c r="AI145" s="21"/>
    </row>
    <row r="146" spans="31:35" x14ac:dyDescent="0.25">
      <c r="AE146" s="21"/>
      <c r="AF146" s="21"/>
      <c r="AG146" s="21"/>
      <c r="AH146" s="21"/>
      <c r="AI146" s="21"/>
    </row>
    <row r="147" spans="31:35" x14ac:dyDescent="0.25">
      <c r="AE147" s="21"/>
      <c r="AF147" s="21"/>
      <c r="AG147" s="21"/>
      <c r="AH147" s="21"/>
      <c r="AI147" s="21"/>
    </row>
    <row r="148" spans="31:35" x14ac:dyDescent="0.25">
      <c r="AE148" s="21"/>
      <c r="AF148" s="21"/>
      <c r="AG148" s="21"/>
      <c r="AH148" s="21"/>
      <c r="AI148" s="21"/>
    </row>
    <row r="149" spans="31:35" x14ac:dyDescent="0.25">
      <c r="AE149" s="21"/>
      <c r="AF149" s="21"/>
      <c r="AG149" s="21"/>
      <c r="AH149" s="21"/>
      <c r="AI149" s="21"/>
    </row>
    <row r="150" spans="31:35" x14ac:dyDescent="0.25">
      <c r="AE150" s="21"/>
      <c r="AF150" s="21"/>
      <c r="AG150" s="21"/>
      <c r="AH150" s="21"/>
      <c r="AI150" s="21"/>
    </row>
    <row r="151" spans="31:35" x14ac:dyDescent="0.25">
      <c r="AE151" s="21"/>
      <c r="AF151" s="21"/>
      <c r="AG151" s="21"/>
      <c r="AH151" s="21"/>
      <c r="AI151" s="21"/>
    </row>
    <row r="152" spans="31:35" x14ac:dyDescent="0.25">
      <c r="AE152" s="21"/>
      <c r="AF152" s="21"/>
      <c r="AG152" s="21"/>
      <c r="AH152" s="21"/>
      <c r="AI152" s="21"/>
    </row>
    <row r="153" spans="31:35" x14ac:dyDescent="0.25">
      <c r="AE153" s="21"/>
      <c r="AF153" s="21"/>
      <c r="AG153" s="21"/>
      <c r="AH153" s="21"/>
      <c r="AI153" s="21"/>
    </row>
    <row r="154" spans="31:35" x14ac:dyDescent="0.25">
      <c r="AE154" s="21"/>
      <c r="AF154" s="21"/>
      <c r="AG154" s="21"/>
      <c r="AH154" s="21"/>
      <c r="AI154" s="21"/>
    </row>
    <row r="155" spans="31:35" x14ac:dyDescent="0.25">
      <c r="AE155" s="21"/>
      <c r="AF155" s="21"/>
      <c r="AG155" s="21"/>
      <c r="AH155" s="21"/>
      <c r="AI155" s="21"/>
    </row>
    <row r="156" spans="31:35" x14ac:dyDescent="0.25">
      <c r="AE156" s="21"/>
      <c r="AF156" s="21"/>
      <c r="AG156" s="21"/>
      <c r="AH156" s="21"/>
      <c r="AI156" s="21"/>
    </row>
    <row r="157" spans="31:35" x14ac:dyDescent="0.25">
      <c r="AE157" s="21"/>
      <c r="AF157" s="21"/>
      <c r="AG157" s="21"/>
      <c r="AH157" s="21"/>
      <c r="AI157" s="21"/>
    </row>
    <row r="158" spans="31:35" x14ac:dyDescent="0.25">
      <c r="AE158" s="21"/>
      <c r="AF158" s="21"/>
      <c r="AG158" s="21"/>
      <c r="AH158" s="21"/>
      <c r="AI158" s="21"/>
    </row>
    <row r="159" spans="31:35" x14ac:dyDescent="0.25">
      <c r="AE159" s="21"/>
      <c r="AF159" s="21"/>
      <c r="AG159" s="21"/>
      <c r="AH159" s="21"/>
      <c r="AI159" s="21"/>
    </row>
    <row r="160" spans="31:35" x14ac:dyDescent="0.25">
      <c r="AE160" s="21"/>
      <c r="AF160" s="21"/>
      <c r="AG160" s="21"/>
      <c r="AH160" s="21"/>
      <c r="AI160" s="21"/>
    </row>
    <row r="161" spans="29:35" x14ac:dyDescent="0.25">
      <c r="AE161" s="21"/>
      <c r="AF161" s="21"/>
      <c r="AG161" s="21"/>
      <c r="AH161" s="21"/>
      <c r="AI161" s="21"/>
    </row>
    <row r="162" spans="29:35" x14ac:dyDescent="0.25">
      <c r="AE162" s="21"/>
      <c r="AF162" s="21"/>
      <c r="AG162" s="21"/>
      <c r="AH162" s="21"/>
      <c r="AI162" s="21"/>
    </row>
    <row r="163" spans="29:35" x14ac:dyDescent="0.25">
      <c r="AE163" s="21"/>
      <c r="AF163" s="21"/>
      <c r="AG163" s="21"/>
      <c r="AH163" s="21"/>
      <c r="AI163" s="21"/>
    </row>
    <row r="164" spans="29:35" x14ac:dyDescent="0.25">
      <c r="AE164" s="21"/>
      <c r="AF164" s="21"/>
      <c r="AG164" s="21"/>
      <c r="AH164" s="21"/>
      <c r="AI164" s="21"/>
    </row>
    <row r="165" spans="29:35" x14ac:dyDescent="0.25">
      <c r="AE165" s="21"/>
      <c r="AF165" s="21"/>
      <c r="AG165" s="21"/>
      <c r="AH165" s="21"/>
      <c r="AI165" s="21"/>
    </row>
    <row r="166" spans="29:35" x14ac:dyDescent="0.25">
      <c r="AE166" s="21"/>
      <c r="AF166" s="21"/>
      <c r="AG166" s="21"/>
      <c r="AH166" s="21"/>
      <c r="AI166" s="21"/>
    </row>
    <row r="167" spans="29:35" x14ac:dyDescent="0.25">
      <c r="AC167" s="20"/>
      <c r="AE167" s="21"/>
      <c r="AF167" s="21"/>
      <c r="AG167" s="21"/>
      <c r="AH167" s="21"/>
      <c r="AI167" s="21"/>
    </row>
    <row r="168" spans="29:35" x14ac:dyDescent="0.25">
      <c r="AE168" s="21"/>
      <c r="AF168" s="21"/>
      <c r="AG168" s="21"/>
      <c r="AH168" s="21"/>
      <c r="AI168" s="21"/>
    </row>
    <row r="169" spans="29:35" x14ac:dyDescent="0.25">
      <c r="AC169" s="20"/>
      <c r="AE169" s="21"/>
      <c r="AF169" s="21"/>
      <c r="AG169" s="21"/>
      <c r="AH169" s="21"/>
      <c r="AI169" s="21"/>
    </row>
    <row r="170" spans="29:35" x14ac:dyDescent="0.25">
      <c r="AE170" s="21"/>
      <c r="AF170" s="21"/>
      <c r="AG170" s="21"/>
      <c r="AH170" s="21"/>
      <c r="AI170" s="21"/>
    </row>
    <row r="171" spans="29:35" x14ac:dyDescent="0.25">
      <c r="AE171" s="21"/>
      <c r="AF171" s="21"/>
      <c r="AG171" s="21"/>
      <c r="AH171" s="21"/>
      <c r="AI171" s="21"/>
    </row>
    <row r="172" spans="29:35" x14ac:dyDescent="0.25">
      <c r="AE172" s="21"/>
      <c r="AF172" s="21"/>
      <c r="AG172" s="21"/>
      <c r="AH172" s="21"/>
      <c r="AI172" s="21"/>
    </row>
    <row r="173" spans="29:35" x14ac:dyDescent="0.25">
      <c r="AE173" s="21"/>
      <c r="AF173" s="21"/>
      <c r="AG173" s="21"/>
      <c r="AH173" s="21"/>
      <c r="AI173" s="21"/>
    </row>
    <row r="174" spans="29:35" x14ac:dyDescent="0.25">
      <c r="AE174" s="21"/>
      <c r="AF174" s="21"/>
      <c r="AG174" s="21"/>
      <c r="AH174" s="21"/>
      <c r="AI174" s="21"/>
    </row>
    <row r="175" spans="29:35" x14ac:dyDescent="0.25">
      <c r="AE175" s="21"/>
      <c r="AF175" s="21"/>
      <c r="AG175" s="21"/>
      <c r="AH175" s="21"/>
      <c r="AI175" s="21"/>
    </row>
    <row r="176" spans="29:35" x14ac:dyDescent="0.25">
      <c r="AE176" s="21"/>
      <c r="AF176" s="21"/>
      <c r="AG176" s="21"/>
      <c r="AH176" s="21"/>
      <c r="AI176" s="21"/>
    </row>
    <row r="177" spans="31:35" x14ac:dyDescent="0.25">
      <c r="AE177" s="21"/>
      <c r="AF177" s="21"/>
      <c r="AG177" s="21"/>
      <c r="AH177" s="21"/>
      <c r="AI177" s="21"/>
    </row>
    <row r="178" spans="31:35" x14ac:dyDescent="0.25">
      <c r="AE178" s="21"/>
      <c r="AF178" s="21"/>
      <c r="AG178" s="21"/>
      <c r="AH178" s="21"/>
      <c r="AI178" s="21"/>
    </row>
    <row r="179" spans="31:35" x14ac:dyDescent="0.25">
      <c r="AE179" s="21"/>
      <c r="AF179" s="21"/>
      <c r="AG179" s="21"/>
      <c r="AH179" s="21"/>
      <c r="AI179" s="21"/>
    </row>
    <row r="180" spans="31:35" x14ac:dyDescent="0.25">
      <c r="AE180" s="21"/>
      <c r="AF180" s="21"/>
      <c r="AG180" s="21"/>
      <c r="AH180" s="21"/>
      <c r="AI180" s="21"/>
    </row>
    <row r="181" spans="31:35" x14ac:dyDescent="0.25">
      <c r="AE181" s="21"/>
      <c r="AF181" s="21"/>
      <c r="AG181" s="21"/>
      <c r="AH181" s="21"/>
      <c r="AI181" s="21"/>
    </row>
    <row r="182" spans="31:35" x14ac:dyDescent="0.25">
      <c r="AE182" s="21"/>
      <c r="AF182" s="21"/>
      <c r="AG182" s="21"/>
      <c r="AH182" s="21"/>
      <c r="AI182" s="21"/>
    </row>
    <row r="183" spans="31:35" x14ac:dyDescent="0.25">
      <c r="AE183" s="21"/>
      <c r="AF183" s="21"/>
      <c r="AG183" s="21"/>
      <c r="AH183" s="21"/>
      <c r="AI183" s="21"/>
    </row>
    <row r="184" spans="31:35" x14ac:dyDescent="0.25">
      <c r="AE184" s="21"/>
      <c r="AF184" s="21"/>
      <c r="AG184" s="21"/>
      <c r="AH184" s="21"/>
      <c r="AI184" s="21"/>
    </row>
    <row r="185" spans="31:35" x14ac:dyDescent="0.25">
      <c r="AE185" s="21"/>
      <c r="AF185" s="21"/>
      <c r="AG185" s="21"/>
      <c r="AH185" s="21"/>
      <c r="AI185" s="21"/>
    </row>
    <row r="186" spans="31:35" x14ac:dyDescent="0.25">
      <c r="AE186" s="21"/>
      <c r="AF186" s="21"/>
      <c r="AG186" s="21"/>
      <c r="AH186" s="21"/>
      <c r="AI186" s="21"/>
    </row>
    <row r="187" spans="31:35" x14ac:dyDescent="0.25">
      <c r="AE187" s="21"/>
      <c r="AF187" s="21"/>
      <c r="AG187" s="21"/>
      <c r="AH187" s="21"/>
      <c r="AI187" s="21"/>
    </row>
    <row r="188" spans="31:35" x14ac:dyDescent="0.25">
      <c r="AE188" s="21"/>
      <c r="AF188" s="21"/>
      <c r="AG188" s="21"/>
      <c r="AH188" s="21"/>
      <c r="AI188" s="21"/>
    </row>
    <row r="189" spans="31:35" x14ac:dyDescent="0.25">
      <c r="AE189" s="21"/>
      <c r="AF189" s="21"/>
      <c r="AG189" s="21"/>
      <c r="AH189" s="21"/>
      <c r="AI189" s="21"/>
    </row>
    <row r="190" spans="31:35" x14ac:dyDescent="0.25">
      <c r="AE190" s="21"/>
      <c r="AF190" s="21"/>
      <c r="AG190" s="21"/>
      <c r="AH190" s="21"/>
      <c r="AI190" s="21"/>
    </row>
    <row r="191" spans="31:35" x14ac:dyDescent="0.25">
      <c r="AE191" s="21"/>
      <c r="AF191" s="21"/>
      <c r="AG191" s="21"/>
      <c r="AH191" s="21"/>
      <c r="AI191" s="21"/>
    </row>
    <row r="192" spans="31:35" x14ac:dyDescent="0.25">
      <c r="AE192" s="21"/>
      <c r="AF192" s="21"/>
      <c r="AG192" s="21"/>
      <c r="AH192" s="21"/>
      <c r="AI192" s="21"/>
    </row>
    <row r="193" spans="29:35" x14ac:dyDescent="0.25">
      <c r="AE193" s="21"/>
      <c r="AF193" s="21"/>
      <c r="AG193" s="21"/>
      <c r="AH193" s="21"/>
      <c r="AI193" s="21"/>
    </row>
    <row r="194" spans="29:35" x14ac:dyDescent="0.25">
      <c r="AE194" s="21"/>
      <c r="AF194" s="21"/>
      <c r="AG194" s="21"/>
      <c r="AH194" s="21"/>
      <c r="AI194" s="21"/>
    </row>
    <row r="195" spans="29:35" x14ac:dyDescent="0.25">
      <c r="AE195" s="21"/>
      <c r="AF195" s="21"/>
      <c r="AG195" s="21"/>
      <c r="AH195" s="21"/>
      <c r="AI195" s="21"/>
    </row>
    <row r="196" spans="29:35" x14ac:dyDescent="0.25">
      <c r="AE196" s="21"/>
      <c r="AF196" s="21"/>
      <c r="AG196" s="21"/>
      <c r="AH196" s="21"/>
      <c r="AI196" s="21"/>
    </row>
    <row r="197" spans="29:35" x14ac:dyDescent="0.25">
      <c r="AC197" s="20"/>
      <c r="AE197" s="21"/>
      <c r="AF197" s="21"/>
      <c r="AG197" s="21"/>
      <c r="AH197" s="21"/>
      <c r="AI197" s="21"/>
    </row>
    <row r="198" spans="29:35" x14ac:dyDescent="0.25">
      <c r="AE198" s="21"/>
      <c r="AF198" s="21"/>
      <c r="AG198" s="21"/>
      <c r="AH198" s="21"/>
      <c r="AI198" s="21"/>
    </row>
    <row r="199" spans="29:35" x14ac:dyDescent="0.25">
      <c r="AC199" s="20"/>
      <c r="AE199" s="21"/>
      <c r="AF199" s="21"/>
      <c r="AG199" s="21"/>
      <c r="AH199" s="21"/>
      <c r="AI199" s="21"/>
    </row>
    <row r="200" spans="29:35" x14ac:dyDescent="0.25">
      <c r="AE200" s="21"/>
      <c r="AF200" s="21"/>
      <c r="AG200" s="21"/>
      <c r="AH200" s="21"/>
      <c r="AI200" s="21"/>
    </row>
    <row r="201" spans="29:35" x14ac:dyDescent="0.25">
      <c r="AE201" s="21"/>
      <c r="AF201" s="21"/>
      <c r="AG201" s="21"/>
      <c r="AH201" s="21"/>
      <c r="AI201" s="21"/>
    </row>
    <row r="202" spans="29:35" x14ac:dyDescent="0.25">
      <c r="AE202" s="21"/>
      <c r="AF202" s="21"/>
      <c r="AG202" s="21"/>
      <c r="AH202" s="21"/>
      <c r="AI202" s="21"/>
    </row>
    <row r="203" spans="29:35" x14ac:dyDescent="0.25">
      <c r="AE203" s="21"/>
      <c r="AF203" s="21"/>
      <c r="AG203" s="21"/>
      <c r="AH203" s="21"/>
      <c r="AI203" s="21"/>
    </row>
    <row r="204" spans="29:35" x14ac:dyDescent="0.25">
      <c r="AE204" s="21"/>
      <c r="AF204" s="21"/>
      <c r="AG204" s="21"/>
      <c r="AH204" s="21"/>
      <c r="AI204" s="21"/>
    </row>
    <row r="205" spans="29:35" x14ac:dyDescent="0.25">
      <c r="AE205" s="21"/>
      <c r="AF205" s="21"/>
      <c r="AG205" s="21"/>
      <c r="AH205" s="21"/>
      <c r="AI205" s="21"/>
    </row>
    <row r="206" spans="29:35" x14ac:dyDescent="0.25">
      <c r="AE206" s="21"/>
      <c r="AF206" s="21"/>
      <c r="AG206" s="21"/>
      <c r="AH206" s="21"/>
      <c r="AI206" s="21"/>
    </row>
    <row r="207" spans="29:35" x14ac:dyDescent="0.25">
      <c r="AE207" s="21"/>
      <c r="AF207" s="21"/>
      <c r="AG207" s="21"/>
      <c r="AH207" s="21"/>
      <c r="AI207" s="21"/>
    </row>
    <row r="208" spans="29:35" x14ac:dyDescent="0.25">
      <c r="AE208" s="21"/>
      <c r="AF208" s="21"/>
      <c r="AG208" s="21"/>
      <c r="AH208" s="21"/>
      <c r="AI208" s="21"/>
    </row>
    <row r="209" spans="31:35" x14ac:dyDescent="0.25">
      <c r="AE209" s="21"/>
      <c r="AF209" s="21"/>
      <c r="AG209" s="21"/>
      <c r="AH209" s="21"/>
      <c r="AI209" s="21"/>
    </row>
    <row r="210" spans="31:35" x14ac:dyDescent="0.25">
      <c r="AE210" s="21"/>
      <c r="AF210" s="21"/>
      <c r="AG210" s="21"/>
      <c r="AH210" s="21"/>
      <c r="AI210" s="21"/>
    </row>
    <row r="211" spans="31:35" x14ac:dyDescent="0.25">
      <c r="AE211" s="21"/>
      <c r="AF211" s="21"/>
      <c r="AG211" s="21"/>
      <c r="AH211" s="21"/>
      <c r="AI211" s="21"/>
    </row>
    <row r="212" spans="31:35" x14ac:dyDescent="0.25">
      <c r="AE212" s="21"/>
      <c r="AF212" s="21"/>
      <c r="AG212" s="21"/>
      <c r="AH212" s="21"/>
      <c r="AI212" s="21"/>
    </row>
    <row r="213" spans="31:35" x14ac:dyDescent="0.25">
      <c r="AE213" s="21"/>
      <c r="AF213" s="21"/>
      <c r="AG213" s="21"/>
      <c r="AH213" s="21"/>
      <c r="AI213" s="21"/>
    </row>
    <row r="214" spans="31:35" x14ac:dyDescent="0.25">
      <c r="AE214" s="21"/>
      <c r="AF214" s="21"/>
      <c r="AG214" s="21"/>
      <c r="AH214" s="21"/>
      <c r="AI214" s="21"/>
    </row>
    <row r="215" spans="31:35" x14ac:dyDescent="0.25">
      <c r="AE215" s="21"/>
      <c r="AF215" s="21"/>
      <c r="AG215" s="21"/>
      <c r="AH215" s="21"/>
      <c r="AI215" s="21"/>
    </row>
    <row r="216" spans="31:35" x14ac:dyDescent="0.25">
      <c r="AE216" s="21"/>
      <c r="AF216" s="21"/>
      <c r="AG216" s="21"/>
      <c r="AH216" s="21"/>
      <c r="AI216" s="21"/>
    </row>
    <row r="217" spans="31:35" x14ac:dyDescent="0.25">
      <c r="AE217" s="21"/>
      <c r="AF217" s="21"/>
      <c r="AG217" s="21"/>
      <c r="AH217" s="21"/>
      <c r="AI217" s="21"/>
    </row>
    <row r="218" spans="31:35" x14ac:dyDescent="0.25">
      <c r="AE218" s="21"/>
      <c r="AF218" s="21"/>
      <c r="AG218" s="21"/>
      <c r="AH218" s="21"/>
      <c r="AI218" s="21"/>
    </row>
    <row r="219" spans="31:35" x14ac:dyDescent="0.25">
      <c r="AE219" s="21"/>
      <c r="AF219" s="21"/>
      <c r="AG219" s="21"/>
      <c r="AH219" s="21"/>
      <c r="AI219" s="21"/>
    </row>
    <row r="220" spans="31:35" x14ac:dyDescent="0.25">
      <c r="AE220" s="21"/>
      <c r="AF220" s="21"/>
      <c r="AG220" s="21"/>
      <c r="AH220" s="21"/>
      <c r="AI220" s="21"/>
    </row>
    <row r="221" spans="31:35" x14ac:dyDescent="0.25">
      <c r="AE221" s="21"/>
      <c r="AF221" s="21"/>
      <c r="AG221" s="21"/>
      <c r="AH221" s="21"/>
      <c r="AI221" s="21"/>
    </row>
    <row r="222" spans="31:35" x14ac:dyDescent="0.25">
      <c r="AE222" s="21"/>
      <c r="AF222" s="21"/>
      <c r="AG222" s="21"/>
      <c r="AH222" s="21"/>
      <c r="AI222" s="21"/>
    </row>
    <row r="223" spans="31:35" x14ac:dyDescent="0.25">
      <c r="AE223" s="21"/>
      <c r="AF223" s="21"/>
      <c r="AG223" s="21"/>
      <c r="AH223" s="21"/>
      <c r="AI223" s="21"/>
    </row>
    <row r="224" spans="31:35" x14ac:dyDescent="0.25">
      <c r="AE224" s="21"/>
      <c r="AF224" s="21"/>
      <c r="AG224" s="21"/>
      <c r="AH224" s="21"/>
      <c r="AI224" s="21"/>
    </row>
    <row r="225" spans="29:35" x14ac:dyDescent="0.25">
      <c r="AE225" s="21"/>
      <c r="AF225" s="21"/>
      <c r="AG225" s="21"/>
      <c r="AH225" s="21"/>
      <c r="AI225" s="21"/>
    </row>
    <row r="226" spans="29:35" x14ac:dyDescent="0.25">
      <c r="AE226" s="21"/>
      <c r="AF226" s="21"/>
      <c r="AG226" s="21"/>
      <c r="AH226" s="21"/>
      <c r="AI226" s="21"/>
    </row>
    <row r="227" spans="29:35" x14ac:dyDescent="0.25">
      <c r="AC227" s="20"/>
      <c r="AE227" s="21"/>
      <c r="AF227" s="21"/>
      <c r="AG227" s="21"/>
      <c r="AH227" s="21"/>
      <c r="AI227" s="21"/>
    </row>
    <row r="228" spans="29:35" x14ac:dyDescent="0.25">
      <c r="AE228" s="21"/>
      <c r="AF228" s="21"/>
      <c r="AG228" s="21"/>
      <c r="AH228" s="21"/>
      <c r="AI228" s="21"/>
    </row>
    <row r="229" spans="29:35" x14ac:dyDescent="0.25">
      <c r="AE229" s="21"/>
      <c r="AF229" s="21"/>
      <c r="AG229" s="21"/>
      <c r="AH229" s="21"/>
      <c r="AI229" s="21"/>
    </row>
    <row r="230" spans="29:35" x14ac:dyDescent="0.25">
      <c r="AE230" s="21"/>
      <c r="AF230" s="21"/>
      <c r="AG230" s="21"/>
      <c r="AH230" s="21"/>
      <c r="AI230" s="21"/>
    </row>
    <row r="231" spans="29:35" x14ac:dyDescent="0.25">
      <c r="AE231" s="21"/>
      <c r="AF231" s="21"/>
      <c r="AG231" s="21"/>
      <c r="AH231" s="21"/>
      <c r="AI231" s="21"/>
    </row>
    <row r="232" spans="29:35" x14ac:dyDescent="0.25">
      <c r="AE232" s="21"/>
      <c r="AF232" s="21"/>
      <c r="AG232" s="21"/>
      <c r="AH232" s="21"/>
      <c r="AI232" s="21"/>
    </row>
    <row r="233" spans="29:35" x14ac:dyDescent="0.25">
      <c r="AE233" s="21"/>
      <c r="AF233" s="21"/>
      <c r="AG233" s="21"/>
      <c r="AH233" s="21"/>
      <c r="AI233" s="21"/>
    </row>
    <row r="234" spans="29:35" x14ac:dyDescent="0.25">
      <c r="AE234" s="21"/>
      <c r="AF234" s="21"/>
      <c r="AG234" s="21"/>
      <c r="AH234" s="21"/>
      <c r="AI234" s="21"/>
    </row>
    <row r="235" spans="29:35" x14ac:dyDescent="0.25">
      <c r="AE235" s="21"/>
      <c r="AF235" s="21"/>
      <c r="AG235" s="21"/>
      <c r="AH235" s="21"/>
      <c r="AI235" s="21"/>
    </row>
    <row r="236" spans="29:35" x14ac:dyDescent="0.25">
      <c r="AE236" s="21"/>
      <c r="AF236" s="21"/>
      <c r="AG236" s="21"/>
      <c r="AH236" s="21"/>
      <c r="AI236" s="21"/>
    </row>
    <row r="237" spans="29:35" x14ac:dyDescent="0.25">
      <c r="AE237" s="21"/>
      <c r="AF237" s="21"/>
      <c r="AG237" s="21"/>
      <c r="AH237" s="21"/>
      <c r="AI237" s="21"/>
    </row>
    <row r="238" spans="29:35" x14ac:dyDescent="0.25">
      <c r="AE238" s="21"/>
      <c r="AF238" s="21"/>
      <c r="AG238" s="21"/>
      <c r="AH238" s="21"/>
      <c r="AI238" s="21"/>
    </row>
    <row r="239" spans="29:35" x14ac:dyDescent="0.25">
      <c r="AE239" s="21"/>
      <c r="AF239" s="21"/>
      <c r="AG239" s="21"/>
      <c r="AH239" s="21"/>
      <c r="AI239" s="21"/>
    </row>
    <row r="240" spans="29:35" x14ac:dyDescent="0.25">
      <c r="AE240" s="21"/>
      <c r="AF240" s="21"/>
      <c r="AG240" s="21"/>
      <c r="AH240" s="21"/>
      <c r="AI240" s="21"/>
    </row>
    <row r="241" spans="31:35" x14ac:dyDescent="0.25">
      <c r="AE241" s="21"/>
      <c r="AF241" s="21"/>
      <c r="AG241" s="21"/>
      <c r="AH241" s="21"/>
      <c r="AI241" s="21"/>
    </row>
    <row r="242" spans="31:35" x14ac:dyDescent="0.25">
      <c r="AE242" s="21"/>
      <c r="AF242" s="21"/>
      <c r="AG242" s="21"/>
      <c r="AH242" s="21"/>
      <c r="AI242" s="21"/>
    </row>
    <row r="243" spans="31:35" x14ac:dyDescent="0.25">
      <c r="AE243" s="21"/>
      <c r="AF243" s="21"/>
      <c r="AG243" s="21"/>
      <c r="AH243" s="21"/>
      <c r="AI243" s="21"/>
    </row>
    <row r="244" spans="31:35" x14ac:dyDescent="0.25">
      <c r="AE244" s="21"/>
      <c r="AF244" s="21"/>
      <c r="AG244" s="21"/>
      <c r="AH244" s="21"/>
      <c r="AI244" s="21"/>
    </row>
    <row r="245" spans="31:35" x14ac:dyDescent="0.25">
      <c r="AE245" s="21"/>
      <c r="AF245" s="21"/>
      <c r="AG245" s="21"/>
      <c r="AH245" s="21"/>
      <c r="AI245" s="21"/>
    </row>
    <row r="246" spans="31:35" x14ac:dyDescent="0.25">
      <c r="AE246" s="21"/>
      <c r="AF246" s="21"/>
      <c r="AG246" s="21"/>
      <c r="AH246" s="21"/>
      <c r="AI246" s="21"/>
    </row>
    <row r="247" spans="31:35" x14ac:dyDescent="0.25">
      <c r="AE247" s="21"/>
      <c r="AF247" s="21"/>
      <c r="AG247" s="21"/>
      <c r="AH247" s="21"/>
      <c r="AI247" s="21"/>
    </row>
    <row r="248" spans="31:35" x14ac:dyDescent="0.25">
      <c r="AE248" s="21"/>
      <c r="AF248" s="21"/>
      <c r="AG248" s="21"/>
      <c r="AH248" s="21"/>
      <c r="AI248" s="21"/>
    </row>
    <row r="249" spans="31:35" x14ac:dyDescent="0.25">
      <c r="AE249" s="21"/>
      <c r="AF249" s="21"/>
      <c r="AG249" s="21"/>
      <c r="AH249" s="21"/>
      <c r="AI249" s="21"/>
    </row>
    <row r="250" spans="31:35" x14ac:dyDescent="0.25">
      <c r="AE250" s="21"/>
      <c r="AF250" s="21"/>
      <c r="AG250" s="21"/>
      <c r="AH250" s="21"/>
      <c r="AI250" s="21"/>
    </row>
    <row r="251" spans="31:35" x14ac:dyDescent="0.25">
      <c r="AE251" s="21"/>
      <c r="AF251" s="21"/>
      <c r="AG251" s="21"/>
      <c r="AH251" s="21"/>
      <c r="AI251" s="21"/>
    </row>
    <row r="252" spans="31:35" x14ac:dyDescent="0.25">
      <c r="AE252" s="21"/>
      <c r="AF252" s="21"/>
      <c r="AG252" s="21"/>
      <c r="AH252" s="21"/>
      <c r="AI252" s="21"/>
    </row>
    <row r="253" spans="31:35" x14ac:dyDescent="0.25">
      <c r="AE253" s="21"/>
      <c r="AF253" s="21"/>
      <c r="AG253" s="21"/>
      <c r="AH253" s="21"/>
      <c r="AI253" s="21"/>
    </row>
    <row r="254" spans="31:35" x14ac:dyDescent="0.25">
      <c r="AE254" s="21"/>
      <c r="AF254" s="21"/>
      <c r="AG254" s="21"/>
      <c r="AH254" s="21"/>
      <c r="AI254" s="21"/>
    </row>
    <row r="255" spans="31:35" x14ac:dyDescent="0.25">
      <c r="AE255" s="21"/>
      <c r="AF255" s="21"/>
      <c r="AG255" s="21"/>
      <c r="AH255" s="21"/>
      <c r="AI255" s="21"/>
    </row>
    <row r="256" spans="31:35" x14ac:dyDescent="0.25">
      <c r="AE256" s="21"/>
      <c r="AF256" s="21"/>
      <c r="AG256" s="21"/>
      <c r="AH256" s="21"/>
      <c r="AI256" s="21"/>
    </row>
    <row r="257" spans="29:35" x14ac:dyDescent="0.25">
      <c r="AE257" s="21"/>
      <c r="AF257" s="21"/>
      <c r="AG257" s="21"/>
      <c r="AH257" s="21"/>
      <c r="AI257" s="21"/>
    </row>
    <row r="258" spans="29:35" x14ac:dyDescent="0.25">
      <c r="AC258" s="20"/>
      <c r="AE258" s="21"/>
      <c r="AF258" s="21"/>
      <c r="AG258" s="21"/>
      <c r="AH258" s="21"/>
      <c r="AI258" s="21"/>
    </row>
    <row r="259" spans="29:35" x14ac:dyDescent="0.25">
      <c r="AE259" s="21"/>
      <c r="AF259" s="21"/>
      <c r="AG259" s="21"/>
      <c r="AH259" s="21"/>
      <c r="AI259" s="21"/>
    </row>
    <row r="260" spans="29:35" x14ac:dyDescent="0.25">
      <c r="AE260" s="21"/>
      <c r="AF260" s="21"/>
      <c r="AG260" s="21"/>
      <c r="AH260" s="21"/>
      <c r="AI260" s="21"/>
    </row>
    <row r="261" spans="29:35" x14ac:dyDescent="0.25">
      <c r="AE261" s="21"/>
      <c r="AF261" s="21"/>
      <c r="AG261" s="21"/>
      <c r="AH261" s="21"/>
      <c r="AI261" s="21"/>
    </row>
    <row r="262" spans="29:35" x14ac:dyDescent="0.25">
      <c r="AE262" s="21"/>
      <c r="AF262" s="21"/>
      <c r="AG262" s="21"/>
      <c r="AH262" s="21"/>
      <c r="AI262" s="21"/>
    </row>
    <row r="263" spans="29:35" x14ac:dyDescent="0.25">
      <c r="AE263" s="21"/>
      <c r="AF263" s="21"/>
      <c r="AG263" s="21"/>
      <c r="AH263" s="21"/>
      <c r="AI263" s="21"/>
    </row>
    <row r="264" spans="29:35" x14ac:dyDescent="0.25">
      <c r="AE264" s="21"/>
      <c r="AF264" s="21"/>
      <c r="AG264" s="21"/>
      <c r="AH264" s="21"/>
      <c r="AI264" s="21"/>
    </row>
    <row r="265" spans="29:35" x14ac:dyDescent="0.25">
      <c r="AE265" s="21"/>
      <c r="AF265" s="21"/>
      <c r="AG265" s="21"/>
      <c r="AH265" s="21"/>
      <c r="AI265" s="21"/>
    </row>
    <row r="266" spans="29:35" x14ac:dyDescent="0.25">
      <c r="AE266" s="21"/>
      <c r="AF266" s="21"/>
      <c r="AG266" s="21"/>
      <c r="AH266" s="21"/>
      <c r="AI266" s="21"/>
    </row>
    <row r="267" spans="29:35" x14ac:dyDescent="0.25">
      <c r="AE267" s="21"/>
      <c r="AF267" s="21"/>
      <c r="AG267" s="21"/>
      <c r="AH267" s="21"/>
      <c r="AI267" s="21"/>
    </row>
    <row r="268" spans="29:35" x14ac:dyDescent="0.25">
      <c r="AE268" s="21"/>
      <c r="AF268" s="21"/>
      <c r="AG268" s="21"/>
      <c r="AH268" s="21"/>
      <c r="AI268" s="21"/>
    </row>
    <row r="269" spans="29:35" x14ac:dyDescent="0.25">
      <c r="AE269" s="21"/>
      <c r="AF269" s="21"/>
      <c r="AG269" s="21"/>
      <c r="AH269" s="21"/>
      <c r="AI269" s="21"/>
    </row>
    <row r="270" spans="29:35" x14ac:dyDescent="0.25">
      <c r="AE270" s="21"/>
      <c r="AF270" s="21"/>
      <c r="AG270" s="21"/>
      <c r="AH270" s="21"/>
      <c r="AI270" s="21"/>
    </row>
    <row r="271" spans="29:35" x14ac:dyDescent="0.25">
      <c r="AE271" s="21"/>
      <c r="AF271" s="21"/>
      <c r="AG271" s="21"/>
      <c r="AH271" s="21"/>
      <c r="AI271" s="21"/>
    </row>
    <row r="272" spans="29:35" x14ac:dyDescent="0.25">
      <c r="AE272" s="21"/>
      <c r="AF272" s="21"/>
      <c r="AG272" s="21"/>
      <c r="AH272" s="21"/>
      <c r="AI272" s="21"/>
    </row>
    <row r="273" spans="31:35" x14ac:dyDescent="0.25">
      <c r="AE273" s="21"/>
      <c r="AF273" s="21"/>
      <c r="AG273" s="21"/>
      <c r="AH273" s="21"/>
      <c r="AI273" s="21"/>
    </row>
    <row r="274" spans="31:35" x14ac:dyDescent="0.25">
      <c r="AE274" s="21"/>
      <c r="AF274" s="21"/>
      <c r="AG274" s="21"/>
      <c r="AH274" s="21"/>
      <c r="AI274" s="21"/>
    </row>
    <row r="275" spans="31:35" x14ac:dyDescent="0.25">
      <c r="AE275" s="21"/>
      <c r="AF275" s="21"/>
      <c r="AG275" s="21"/>
      <c r="AH275" s="21"/>
      <c r="AI275" s="21"/>
    </row>
    <row r="276" spans="31:35" x14ac:dyDescent="0.25">
      <c r="AE276" s="21"/>
      <c r="AF276" s="21"/>
      <c r="AG276" s="21"/>
      <c r="AH276" s="21"/>
      <c r="AI276" s="21"/>
    </row>
    <row r="277" spans="31:35" x14ac:dyDescent="0.25">
      <c r="AE277" s="21"/>
      <c r="AF277" s="21"/>
      <c r="AG277" s="21"/>
      <c r="AH277" s="21"/>
      <c r="AI277" s="21"/>
    </row>
    <row r="278" spans="31:35" x14ac:dyDescent="0.25">
      <c r="AE278" s="21"/>
      <c r="AF278" s="21"/>
      <c r="AG278" s="21"/>
      <c r="AH278" s="21"/>
      <c r="AI278" s="21"/>
    </row>
    <row r="279" spans="31:35" x14ac:dyDescent="0.25">
      <c r="AE279" s="21"/>
      <c r="AF279" s="21"/>
      <c r="AG279" s="21"/>
      <c r="AH279" s="21"/>
      <c r="AI279" s="21"/>
    </row>
    <row r="280" spans="31:35" x14ac:dyDescent="0.25">
      <c r="AE280" s="21"/>
      <c r="AF280" s="21"/>
      <c r="AG280" s="21"/>
      <c r="AH280" s="21"/>
      <c r="AI280" s="21"/>
    </row>
    <row r="281" spans="31:35" x14ac:dyDescent="0.25">
      <c r="AE281" s="21"/>
      <c r="AF281" s="21"/>
      <c r="AG281" s="21"/>
      <c r="AH281" s="21"/>
      <c r="AI281" s="21"/>
    </row>
    <row r="282" spans="31:35" x14ac:dyDescent="0.25">
      <c r="AE282" s="21"/>
      <c r="AF282" s="21"/>
      <c r="AG282" s="21"/>
      <c r="AH282" s="21"/>
      <c r="AI282" s="21"/>
    </row>
    <row r="283" spans="31:35" x14ac:dyDescent="0.25">
      <c r="AE283" s="21"/>
      <c r="AF283" s="21"/>
      <c r="AG283" s="21"/>
      <c r="AH283" s="21"/>
      <c r="AI283" s="21"/>
    </row>
    <row r="284" spans="31:35" x14ac:dyDescent="0.25">
      <c r="AE284" s="21"/>
      <c r="AF284" s="21"/>
      <c r="AG284" s="21"/>
      <c r="AH284" s="21"/>
      <c r="AI284" s="21"/>
    </row>
    <row r="285" spans="31:35" x14ac:dyDescent="0.25">
      <c r="AE285" s="21"/>
      <c r="AF285" s="21"/>
      <c r="AG285" s="21"/>
      <c r="AH285" s="21"/>
      <c r="AI285" s="21"/>
    </row>
    <row r="286" spans="31:35" x14ac:dyDescent="0.25">
      <c r="AE286" s="21"/>
      <c r="AF286" s="21"/>
      <c r="AG286" s="21"/>
      <c r="AH286" s="21"/>
      <c r="AI286" s="21"/>
    </row>
    <row r="287" spans="31:35" x14ac:dyDescent="0.25">
      <c r="AE287" s="21"/>
      <c r="AF287" s="21"/>
      <c r="AG287" s="21"/>
      <c r="AH287" s="21"/>
      <c r="AI287" s="21"/>
    </row>
    <row r="288" spans="31:35" x14ac:dyDescent="0.25">
      <c r="AE288" s="21"/>
      <c r="AF288" s="21"/>
      <c r="AG288" s="21"/>
      <c r="AH288" s="21"/>
      <c r="AI288" s="21"/>
    </row>
    <row r="289" spans="29:35" x14ac:dyDescent="0.25">
      <c r="AC289" s="20"/>
      <c r="AE289" s="21"/>
      <c r="AF289" s="21"/>
      <c r="AG289" s="21"/>
      <c r="AH289" s="21"/>
      <c r="AI289" s="21"/>
    </row>
    <row r="290" spans="29:35" x14ac:dyDescent="0.25">
      <c r="AE290" s="21"/>
      <c r="AF290" s="21"/>
      <c r="AG290" s="21"/>
      <c r="AH290" s="21"/>
      <c r="AI290" s="21"/>
    </row>
    <row r="291" spans="29:35" x14ac:dyDescent="0.25">
      <c r="AE291" s="21"/>
      <c r="AF291" s="21"/>
      <c r="AG291" s="21"/>
      <c r="AH291" s="21"/>
      <c r="AI291" s="21"/>
    </row>
    <row r="292" spans="29:35" x14ac:dyDescent="0.25">
      <c r="AE292" s="21"/>
      <c r="AF292" s="21"/>
      <c r="AG292" s="21"/>
      <c r="AH292" s="21"/>
      <c r="AI292" s="21"/>
    </row>
    <row r="293" spans="29:35" x14ac:dyDescent="0.25">
      <c r="AE293" s="21"/>
      <c r="AF293" s="21"/>
      <c r="AG293" s="21"/>
      <c r="AH293" s="21"/>
      <c r="AI293" s="21"/>
    </row>
    <row r="294" spans="29:35" x14ac:dyDescent="0.25">
      <c r="AE294" s="21"/>
      <c r="AF294" s="21"/>
      <c r="AG294" s="21"/>
      <c r="AH294" s="21"/>
      <c r="AI294" s="21"/>
    </row>
    <row r="295" spans="29:35" x14ac:dyDescent="0.25">
      <c r="AE295" s="21"/>
      <c r="AF295" s="21"/>
      <c r="AG295" s="21"/>
      <c r="AH295" s="21"/>
      <c r="AI295" s="21"/>
    </row>
    <row r="296" spans="29:35" x14ac:dyDescent="0.25">
      <c r="AE296" s="21"/>
      <c r="AF296" s="21"/>
      <c r="AG296" s="21"/>
      <c r="AH296" s="21"/>
      <c r="AI296" s="21"/>
    </row>
    <row r="297" spans="29:35" x14ac:dyDescent="0.25">
      <c r="AE297" s="21"/>
      <c r="AF297" s="21"/>
      <c r="AG297" s="21"/>
      <c r="AH297" s="21"/>
      <c r="AI297" s="21"/>
    </row>
    <row r="298" spans="29:35" x14ac:dyDescent="0.25">
      <c r="AE298" s="21"/>
      <c r="AF298" s="21"/>
      <c r="AG298" s="21"/>
      <c r="AH298" s="21"/>
      <c r="AI298" s="21"/>
    </row>
    <row r="299" spans="29:35" x14ac:dyDescent="0.25">
      <c r="AE299" s="21"/>
      <c r="AF299" s="21"/>
      <c r="AG299" s="21"/>
      <c r="AH299" s="21"/>
      <c r="AI299" s="21"/>
    </row>
    <row r="300" spans="29:35" x14ac:dyDescent="0.25">
      <c r="AE300" s="21"/>
      <c r="AF300" s="21"/>
      <c r="AG300" s="21"/>
      <c r="AH300" s="21"/>
      <c r="AI300" s="21"/>
    </row>
    <row r="301" spans="29:35" x14ac:dyDescent="0.25">
      <c r="AE301" s="21"/>
      <c r="AF301" s="21"/>
      <c r="AG301" s="21"/>
      <c r="AH301" s="21"/>
      <c r="AI301" s="21"/>
    </row>
    <row r="302" spans="29:35" x14ac:dyDescent="0.25">
      <c r="AE302" s="21"/>
      <c r="AF302" s="21"/>
      <c r="AG302" s="21"/>
      <c r="AH302" s="21"/>
      <c r="AI302" s="21"/>
    </row>
    <row r="303" spans="29:35" x14ac:dyDescent="0.25">
      <c r="AE303" s="21"/>
      <c r="AF303" s="21"/>
      <c r="AG303" s="21"/>
      <c r="AH303" s="21"/>
      <c r="AI303" s="21"/>
    </row>
    <row r="304" spans="29:35" x14ac:dyDescent="0.25">
      <c r="AE304" s="21"/>
      <c r="AF304" s="21"/>
      <c r="AG304" s="21"/>
      <c r="AH304" s="21"/>
      <c r="AI304" s="21"/>
    </row>
    <row r="305" spans="29:35" x14ac:dyDescent="0.25">
      <c r="AE305" s="21"/>
      <c r="AF305" s="21"/>
      <c r="AG305" s="21"/>
      <c r="AH305" s="21"/>
      <c r="AI305" s="21"/>
    </row>
    <row r="306" spans="29:35" x14ac:dyDescent="0.25">
      <c r="AE306" s="21"/>
      <c r="AF306" s="21"/>
      <c r="AG306" s="21"/>
      <c r="AH306" s="21"/>
      <c r="AI306" s="21"/>
    </row>
    <row r="307" spans="29:35" x14ac:dyDescent="0.25">
      <c r="AE307" s="21"/>
      <c r="AF307" s="21"/>
      <c r="AG307" s="21"/>
      <c r="AH307" s="21"/>
      <c r="AI307" s="21"/>
    </row>
    <row r="308" spans="29:35" x14ac:dyDescent="0.25">
      <c r="AE308" s="21"/>
      <c r="AF308" s="21"/>
      <c r="AG308" s="21"/>
      <c r="AH308" s="21"/>
      <c r="AI308" s="21"/>
    </row>
    <row r="309" spans="29:35" x14ac:dyDescent="0.25">
      <c r="AE309" s="21"/>
      <c r="AF309" s="21"/>
      <c r="AG309" s="21"/>
      <c r="AH309" s="21"/>
      <c r="AI309" s="21"/>
    </row>
    <row r="310" spans="29:35" x14ac:dyDescent="0.25">
      <c r="AE310" s="21"/>
      <c r="AF310" s="21"/>
      <c r="AG310" s="21"/>
      <c r="AH310" s="21"/>
      <c r="AI310" s="21"/>
    </row>
    <row r="311" spans="29:35" x14ac:dyDescent="0.25">
      <c r="AE311" s="21"/>
      <c r="AF311" s="21"/>
      <c r="AG311" s="21"/>
      <c r="AH311" s="21"/>
      <c r="AI311" s="21"/>
    </row>
    <row r="312" spans="29:35" x14ac:dyDescent="0.25">
      <c r="AE312" s="21"/>
      <c r="AF312" s="21"/>
      <c r="AG312" s="21"/>
      <c r="AH312" s="21"/>
      <c r="AI312" s="21"/>
    </row>
    <row r="313" spans="29:35" x14ac:dyDescent="0.25">
      <c r="AE313" s="21"/>
      <c r="AF313" s="21"/>
      <c r="AG313" s="21"/>
      <c r="AH313" s="21"/>
      <c r="AI313" s="21"/>
    </row>
    <row r="314" spans="29:35" x14ac:dyDescent="0.25">
      <c r="AE314" s="21"/>
      <c r="AF314" s="21"/>
      <c r="AG314" s="21"/>
      <c r="AH314" s="21"/>
      <c r="AI314" s="21"/>
    </row>
    <row r="315" spans="29:35" x14ac:dyDescent="0.25">
      <c r="AE315" s="21"/>
      <c r="AF315" s="21"/>
      <c r="AG315" s="21"/>
      <c r="AH315" s="21"/>
      <c r="AI315" s="21"/>
    </row>
    <row r="316" spans="29:35" x14ac:dyDescent="0.25">
      <c r="AE316" s="21"/>
      <c r="AF316" s="21"/>
      <c r="AG316" s="21"/>
      <c r="AH316" s="21"/>
      <c r="AI316" s="21"/>
    </row>
    <row r="317" spans="29:35" x14ac:dyDescent="0.25">
      <c r="AE317" s="21"/>
      <c r="AF317" s="21"/>
      <c r="AG317" s="21"/>
      <c r="AH317" s="21"/>
      <c r="AI317" s="21"/>
    </row>
    <row r="318" spans="29:35" x14ac:dyDescent="0.25">
      <c r="AE318" s="21"/>
      <c r="AF318" s="21"/>
      <c r="AG318" s="21"/>
      <c r="AH318" s="21"/>
      <c r="AI318" s="21"/>
    </row>
    <row r="319" spans="29:35" x14ac:dyDescent="0.25">
      <c r="AE319" s="21"/>
      <c r="AF319" s="21"/>
      <c r="AG319" s="21"/>
      <c r="AH319" s="21"/>
      <c r="AI319" s="21"/>
    </row>
    <row r="320" spans="29:35" x14ac:dyDescent="0.25">
      <c r="AC320" s="20"/>
      <c r="AE320" s="21"/>
      <c r="AF320" s="21"/>
      <c r="AG320" s="21"/>
      <c r="AH320" s="21"/>
      <c r="AI320" s="21"/>
    </row>
    <row r="321" spans="31:35" x14ac:dyDescent="0.25">
      <c r="AE321" s="21"/>
      <c r="AF321" s="21"/>
      <c r="AG321" s="21"/>
      <c r="AH321" s="21"/>
      <c r="AI321" s="21"/>
    </row>
    <row r="322" spans="31:35" x14ac:dyDescent="0.25">
      <c r="AE322" s="21"/>
      <c r="AF322" s="21"/>
      <c r="AG322" s="21"/>
      <c r="AH322" s="21"/>
      <c r="AI322" s="21"/>
    </row>
    <row r="323" spans="31:35" x14ac:dyDescent="0.25">
      <c r="AE323" s="21"/>
      <c r="AF323" s="21"/>
      <c r="AG323" s="21"/>
      <c r="AH323" s="21"/>
      <c r="AI323" s="21"/>
    </row>
    <row r="324" spans="31:35" x14ac:dyDescent="0.25">
      <c r="AE324" s="21"/>
      <c r="AF324" s="21"/>
      <c r="AG324" s="21"/>
      <c r="AH324" s="21"/>
      <c r="AI324" s="21"/>
    </row>
    <row r="325" spans="31:35" x14ac:dyDescent="0.25">
      <c r="AE325" s="21"/>
      <c r="AF325" s="21"/>
      <c r="AG325" s="21"/>
      <c r="AH325" s="21"/>
      <c r="AI325" s="21"/>
    </row>
    <row r="326" spans="31:35" x14ac:dyDescent="0.25">
      <c r="AE326" s="21"/>
      <c r="AF326" s="21"/>
      <c r="AG326" s="21"/>
      <c r="AH326" s="21"/>
      <c r="AI326" s="21"/>
    </row>
    <row r="327" spans="31:35" x14ac:dyDescent="0.25">
      <c r="AE327" s="21"/>
      <c r="AF327" s="21"/>
      <c r="AG327" s="21"/>
      <c r="AH327" s="21"/>
      <c r="AI327" s="21"/>
    </row>
    <row r="328" spans="31:35" x14ac:dyDescent="0.25">
      <c r="AE328" s="21"/>
      <c r="AF328" s="21"/>
      <c r="AG328" s="21"/>
      <c r="AH328" s="21"/>
      <c r="AI328" s="21"/>
    </row>
    <row r="329" spans="31:35" x14ac:dyDescent="0.25">
      <c r="AE329" s="21"/>
      <c r="AF329" s="21"/>
      <c r="AG329" s="21"/>
      <c r="AH329" s="21"/>
      <c r="AI329" s="21"/>
    </row>
    <row r="330" spans="31:35" x14ac:dyDescent="0.25">
      <c r="AE330" s="21"/>
      <c r="AF330" s="21"/>
      <c r="AG330" s="21"/>
      <c r="AH330" s="21"/>
      <c r="AI330" s="21"/>
    </row>
    <row r="331" spans="31:35" x14ac:dyDescent="0.25">
      <c r="AE331" s="21"/>
      <c r="AF331" s="21"/>
      <c r="AG331" s="21"/>
      <c r="AH331" s="21"/>
      <c r="AI331" s="21"/>
    </row>
    <row r="332" spans="31:35" x14ac:dyDescent="0.25">
      <c r="AE332" s="21"/>
      <c r="AF332" s="21"/>
      <c r="AG332" s="21"/>
      <c r="AH332" s="21"/>
      <c r="AI332" s="21"/>
    </row>
    <row r="333" spans="31:35" x14ac:dyDescent="0.25">
      <c r="AE333" s="21"/>
      <c r="AF333" s="21"/>
      <c r="AG333" s="21"/>
      <c r="AH333" s="21"/>
      <c r="AI333" s="21"/>
    </row>
    <row r="334" spans="31:35" x14ac:dyDescent="0.25">
      <c r="AE334" s="21"/>
      <c r="AF334" s="21"/>
      <c r="AG334" s="21"/>
      <c r="AH334" s="21"/>
      <c r="AI334" s="21"/>
    </row>
    <row r="335" spans="31:35" x14ac:dyDescent="0.25">
      <c r="AE335" s="21"/>
      <c r="AF335" s="21"/>
      <c r="AG335" s="21"/>
      <c r="AH335" s="21"/>
      <c r="AI335" s="21"/>
    </row>
    <row r="336" spans="31:35" x14ac:dyDescent="0.25">
      <c r="AE336" s="21"/>
      <c r="AF336" s="21"/>
      <c r="AG336" s="21"/>
      <c r="AH336" s="21"/>
      <c r="AI336" s="21"/>
    </row>
    <row r="337" spans="29:35" x14ac:dyDescent="0.25">
      <c r="AE337" s="21"/>
      <c r="AF337" s="21"/>
      <c r="AG337" s="21"/>
      <c r="AH337" s="21"/>
      <c r="AI337" s="21"/>
    </row>
    <row r="338" spans="29:35" x14ac:dyDescent="0.25">
      <c r="AE338" s="21"/>
      <c r="AF338" s="21"/>
      <c r="AG338" s="21"/>
      <c r="AH338" s="21"/>
      <c r="AI338" s="21"/>
    </row>
    <row r="339" spans="29:35" x14ac:dyDescent="0.25">
      <c r="AE339" s="21"/>
      <c r="AF339" s="21"/>
      <c r="AG339" s="21"/>
      <c r="AH339" s="21"/>
      <c r="AI339" s="21"/>
    </row>
    <row r="340" spans="29:35" x14ac:dyDescent="0.25">
      <c r="AE340" s="21"/>
      <c r="AF340" s="21"/>
      <c r="AG340" s="21"/>
      <c r="AH340" s="21"/>
      <c r="AI340" s="21"/>
    </row>
    <row r="341" spans="29:35" x14ac:dyDescent="0.25">
      <c r="AE341" s="21"/>
      <c r="AF341" s="21"/>
      <c r="AG341" s="21"/>
      <c r="AH341" s="21"/>
      <c r="AI341" s="21"/>
    </row>
    <row r="342" spans="29:35" x14ac:dyDescent="0.25">
      <c r="AE342" s="21"/>
      <c r="AF342" s="21"/>
      <c r="AG342" s="21"/>
      <c r="AH342" s="21"/>
      <c r="AI342" s="21"/>
    </row>
    <row r="343" spans="29:35" x14ac:dyDescent="0.25">
      <c r="AE343" s="21"/>
      <c r="AF343" s="21"/>
      <c r="AG343" s="21"/>
      <c r="AH343" s="21"/>
      <c r="AI343" s="21"/>
    </row>
    <row r="344" spans="29:35" x14ac:dyDescent="0.25">
      <c r="AE344" s="21"/>
      <c r="AF344" s="21"/>
      <c r="AG344" s="21"/>
      <c r="AH344" s="21"/>
      <c r="AI344" s="21"/>
    </row>
    <row r="345" spans="29:35" x14ac:dyDescent="0.25">
      <c r="AE345" s="21"/>
      <c r="AF345" s="21"/>
      <c r="AG345" s="21"/>
      <c r="AH345" s="21"/>
      <c r="AI345" s="21"/>
    </row>
    <row r="346" spans="29:35" x14ac:dyDescent="0.25">
      <c r="AE346" s="21"/>
      <c r="AF346" s="21"/>
      <c r="AG346" s="21"/>
      <c r="AH346" s="21"/>
      <c r="AI346" s="21"/>
    </row>
    <row r="347" spans="29:35" x14ac:dyDescent="0.25">
      <c r="AE347" s="21"/>
      <c r="AF347" s="21"/>
      <c r="AG347" s="21"/>
      <c r="AH347" s="21"/>
      <c r="AI347" s="21"/>
    </row>
    <row r="348" spans="29:35" x14ac:dyDescent="0.25">
      <c r="AE348" s="21"/>
      <c r="AF348" s="21"/>
      <c r="AG348" s="21"/>
      <c r="AH348" s="21"/>
      <c r="AI348" s="21"/>
    </row>
    <row r="349" spans="29:35" x14ac:dyDescent="0.25">
      <c r="AE349" s="21"/>
      <c r="AF349" s="21"/>
      <c r="AG349" s="21"/>
      <c r="AH349" s="21"/>
      <c r="AI349" s="21"/>
    </row>
    <row r="350" spans="29:35" x14ac:dyDescent="0.25">
      <c r="AE350" s="21"/>
      <c r="AF350" s="21"/>
      <c r="AG350" s="21"/>
      <c r="AH350" s="21"/>
      <c r="AI350" s="21"/>
    </row>
    <row r="351" spans="29:35" x14ac:dyDescent="0.25">
      <c r="AC351" s="20"/>
      <c r="AE351" s="21"/>
      <c r="AF351" s="21"/>
      <c r="AG351" s="21"/>
      <c r="AH351" s="21"/>
      <c r="AI351" s="21"/>
    </row>
    <row r="352" spans="29:35" x14ac:dyDescent="0.25">
      <c r="AE352" s="21"/>
      <c r="AF352" s="21"/>
      <c r="AG352" s="21"/>
      <c r="AH352" s="21"/>
      <c r="AI352" s="21"/>
    </row>
    <row r="353" spans="31:35" x14ac:dyDescent="0.25">
      <c r="AE353" s="21"/>
      <c r="AF353" s="21"/>
      <c r="AG353" s="21"/>
      <c r="AH353" s="21"/>
      <c r="AI353" s="21"/>
    </row>
    <row r="354" spans="31:35" x14ac:dyDescent="0.25">
      <c r="AE354" s="21"/>
      <c r="AF354" s="21"/>
      <c r="AG354" s="21"/>
      <c r="AH354" s="21"/>
      <c r="AI354" s="21"/>
    </row>
    <row r="355" spans="31:35" x14ac:dyDescent="0.25">
      <c r="AE355" s="21"/>
      <c r="AF355" s="21"/>
      <c r="AG355" s="21"/>
      <c r="AH355" s="21"/>
      <c r="AI355" s="21"/>
    </row>
    <row r="356" spans="31:35" x14ac:dyDescent="0.25">
      <c r="AE356" s="21"/>
      <c r="AF356" s="21"/>
      <c r="AG356" s="21"/>
      <c r="AH356" s="21"/>
      <c r="AI356" s="21"/>
    </row>
    <row r="357" spans="31:35" x14ac:dyDescent="0.25">
      <c r="AE357" s="21"/>
      <c r="AF357" s="21"/>
      <c r="AG357" s="21"/>
      <c r="AH357" s="21"/>
      <c r="AI357" s="21"/>
    </row>
    <row r="358" spans="31:35" x14ac:dyDescent="0.25">
      <c r="AE358" s="21"/>
      <c r="AF358" s="21"/>
      <c r="AG358" s="21"/>
      <c r="AH358" s="21"/>
      <c r="AI358" s="21"/>
    </row>
    <row r="359" spans="31:35" x14ac:dyDescent="0.25">
      <c r="AE359" s="21"/>
      <c r="AF359" s="21"/>
      <c r="AG359" s="21"/>
      <c r="AH359" s="21"/>
      <c r="AI359" s="21"/>
    </row>
    <row r="360" spans="31:35" x14ac:dyDescent="0.25">
      <c r="AE360" s="21"/>
      <c r="AF360" s="21"/>
      <c r="AG360" s="21"/>
      <c r="AH360" s="21"/>
      <c r="AI360" s="21"/>
    </row>
    <row r="361" spans="31:35" x14ac:dyDescent="0.25">
      <c r="AE361" s="21"/>
      <c r="AF361" s="21"/>
      <c r="AG361" s="21"/>
      <c r="AH361" s="21"/>
      <c r="AI361" s="21"/>
    </row>
    <row r="362" spans="31:35" x14ac:dyDescent="0.25">
      <c r="AE362" s="21"/>
      <c r="AF362" s="21"/>
      <c r="AG362" s="21"/>
      <c r="AH362" s="21"/>
      <c r="AI362" s="21"/>
    </row>
    <row r="363" spans="31:35" x14ac:dyDescent="0.25">
      <c r="AE363" s="21"/>
      <c r="AF363" s="21"/>
      <c r="AG363" s="21"/>
      <c r="AH363" s="21"/>
      <c r="AI363" s="21"/>
    </row>
    <row r="364" spans="31:35" x14ac:dyDescent="0.25">
      <c r="AE364" s="21"/>
      <c r="AF364" s="21"/>
      <c r="AG364" s="21"/>
      <c r="AH364" s="21"/>
      <c r="AI364" s="21"/>
    </row>
    <row r="365" spans="31:35" x14ac:dyDescent="0.25">
      <c r="AE365" s="21"/>
      <c r="AF365" s="21"/>
      <c r="AG365" s="21"/>
      <c r="AH365" s="21"/>
      <c r="AI365" s="21"/>
    </row>
    <row r="366" spans="31:35" x14ac:dyDescent="0.25">
      <c r="AE366" s="21"/>
      <c r="AF366" s="21"/>
      <c r="AG366" s="21"/>
      <c r="AH366" s="21"/>
      <c r="AI366" s="21"/>
    </row>
    <row r="367" spans="31:35" x14ac:dyDescent="0.25">
      <c r="AE367" s="21"/>
      <c r="AF367" s="21"/>
      <c r="AG367" s="21"/>
      <c r="AH367" s="21"/>
      <c r="AI367" s="21"/>
    </row>
    <row r="368" spans="31:35" x14ac:dyDescent="0.25">
      <c r="AE368" s="21"/>
      <c r="AF368" s="21"/>
      <c r="AG368" s="21"/>
      <c r="AH368" s="21"/>
      <c r="AI368" s="21"/>
    </row>
    <row r="369" spans="29:35" x14ac:dyDescent="0.25">
      <c r="AE369" s="21"/>
      <c r="AF369" s="21"/>
      <c r="AG369" s="21"/>
      <c r="AH369" s="21"/>
      <c r="AI369" s="21"/>
    </row>
    <row r="370" spans="29:35" x14ac:dyDescent="0.25">
      <c r="AE370" s="21"/>
      <c r="AF370" s="21"/>
      <c r="AG370" s="21"/>
      <c r="AH370" s="21"/>
      <c r="AI370" s="21"/>
    </row>
    <row r="371" spans="29:35" x14ac:dyDescent="0.25">
      <c r="AE371" s="21"/>
      <c r="AF371" s="21"/>
      <c r="AG371" s="21"/>
      <c r="AH371" s="21"/>
      <c r="AI371" s="21"/>
    </row>
    <row r="372" spans="29:35" x14ac:dyDescent="0.25">
      <c r="AE372" s="21"/>
      <c r="AF372" s="21"/>
      <c r="AG372" s="21"/>
      <c r="AH372" s="21"/>
      <c r="AI372" s="21"/>
    </row>
    <row r="373" spans="29:35" x14ac:dyDescent="0.25">
      <c r="AE373" s="21"/>
      <c r="AF373" s="21"/>
      <c r="AG373" s="21"/>
      <c r="AH373" s="21"/>
      <c r="AI373" s="21"/>
    </row>
    <row r="374" spans="29:35" x14ac:dyDescent="0.25">
      <c r="AE374" s="21"/>
      <c r="AF374" s="21"/>
      <c r="AG374" s="21"/>
      <c r="AH374" s="21"/>
      <c r="AI374" s="21"/>
    </row>
    <row r="375" spans="29:35" x14ac:dyDescent="0.25">
      <c r="AE375" s="21"/>
      <c r="AF375" s="21"/>
      <c r="AG375" s="21"/>
      <c r="AH375" s="21"/>
      <c r="AI375" s="21"/>
    </row>
    <row r="376" spans="29:35" x14ac:dyDescent="0.25">
      <c r="AE376" s="21"/>
      <c r="AF376" s="21"/>
      <c r="AG376" s="21"/>
      <c r="AH376" s="21"/>
      <c r="AI376" s="21"/>
    </row>
    <row r="377" spans="29:35" x14ac:dyDescent="0.25">
      <c r="AE377" s="21"/>
      <c r="AF377" s="21"/>
      <c r="AG377" s="21"/>
      <c r="AH377" s="21"/>
      <c r="AI377" s="21"/>
    </row>
    <row r="378" spans="29:35" x14ac:dyDescent="0.25">
      <c r="AE378" s="21"/>
      <c r="AF378" s="21"/>
      <c r="AG378" s="21"/>
      <c r="AH378" s="21"/>
      <c r="AI378" s="21"/>
    </row>
    <row r="379" spans="29:35" x14ac:dyDescent="0.25">
      <c r="AE379" s="21"/>
      <c r="AF379" s="21"/>
      <c r="AG379" s="21"/>
      <c r="AH379" s="21"/>
      <c r="AI379" s="21"/>
    </row>
    <row r="380" spans="29:35" x14ac:dyDescent="0.25">
      <c r="AE380" s="21"/>
      <c r="AF380" s="21"/>
      <c r="AG380" s="21"/>
      <c r="AH380" s="21"/>
      <c r="AI380" s="21"/>
    </row>
    <row r="381" spans="29:35" x14ac:dyDescent="0.25">
      <c r="AE381" s="21"/>
      <c r="AF381" s="21"/>
      <c r="AG381" s="21"/>
      <c r="AH381" s="21"/>
      <c r="AI381" s="21"/>
    </row>
    <row r="382" spans="29:35" x14ac:dyDescent="0.25">
      <c r="AC382" s="20"/>
      <c r="AE382" s="21"/>
      <c r="AF382" s="21"/>
      <c r="AG382" s="21"/>
      <c r="AH382" s="21"/>
      <c r="AI382" s="21"/>
    </row>
    <row r="383" spans="29:35" x14ac:dyDescent="0.25">
      <c r="AE383" s="21"/>
      <c r="AF383" s="21"/>
      <c r="AG383" s="21"/>
      <c r="AH383" s="21"/>
      <c r="AI383" s="21"/>
    </row>
    <row r="384" spans="29:35" x14ac:dyDescent="0.25">
      <c r="AE384" s="21"/>
      <c r="AF384" s="21"/>
      <c r="AG384" s="21"/>
      <c r="AH384" s="21"/>
      <c r="AI384" s="21"/>
    </row>
    <row r="385" spans="31:35" x14ac:dyDescent="0.25">
      <c r="AE385" s="21"/>
      <c r="AF385" s="21"/>
      <c r="AG385" s="21"/>
      <c r="AH385" s="21"/>
      <c r="AI385" s="21"/>
    </row>
    <row r="386" spans="31:35" x14ac:dyDescent="0.25">
      <c r="AE386" s="21"/>
      <c r="AF386" s="21"/>
      <c r="AG386" s="21"/>
      <c r="AH386" s="21"/>
      <c r="AI386" s="21"/>
    </row>
    <row r="387" spans="31:35" x14ac:dyDescent="0.25">
      <c r="AE387" s="21"/>
      <c r="AF387" s="21"/>
      <c r="AG387" s="21"/>
      <c r="AH387" s="21"/>
      <c r="AI387" s="21"/>
    </row>
    <row r="388" spans="31:35" x14ac:dyDescent="0.25">
      <c r="AE388" s="21"/>
      <c r="AF388" s="21"/>
      <c r="AG388" s="21"/>
      <c r="AH388" s="21"/>
      <c r="AI388" s="21"/>
    </row>
    <row r="389" spans="31:35" x14ac:dyDescent="0.25">
      <c r="AE389" s="21"/>
      <c r="AF389" s="21"/>
      <c r="AG389" s="21"/>
      <c r="AH389" s="21"/>
      <c r="AI389" s="21"/>
    </row>
    <row r="390" spans="31:35" x14ac:dyDescent="0.25">
      <c r="AE390" s="21"/>
      <c r="AF390" s="21"/>
      <c r="AG390" s="21"/>
      <c r="AH390" s="21"/>
      <c r="AI390" s="21"/>
    </row>
    <row r="391" spans="31:35" x14ac:dyDescent="0.25">
      <c r="AE391" s="21"/>
      <c r="AF391" s="21"/>
      <c r="AG391" s="21"/>
      <c r="AH391" s="21"/>
      <c r="AI391" s="21"/>
    </row>
    <row r="392" spans="31:35" x14ac:dyDescent="0.25">
      <c r="AE392" s="21"/>
      <c r="AF392" s="21"/>
      <c r="AG392" s="21"/>
      <c r="AH392" s="21"/>
      <c r="AI392" s="21"/>
    </row>
    <row r="393" spans="31:35" x14ac:dyDescent="0.25">
      <c r="AE393" s="21"/>
      <c r="AF393" s="21"/>
      <c r="AG393" s="21"/>
      <c r="AH393" s="21"/>
      <c r="AI393" s="21"/>
    </row>
    <row r="394" spans="31:35" x14ac:dyDescent="0.25">
      <c r="AE394" s="21"/>
      <c r="AF394" s="21"/>
      <c r="AG394" s="21"/>
      <c r="AH394" s="21"/>
      <c r="AI394" s="21"/>
    </row>
    <row r="395" spans="31:35" x14ac:dyDescent="0.25">
      <c r="AE395" s="21"/>
      <c r="AF395" s="21"/>
      <c r="AG395" s="21"/>
      <c r="AH395" s="21"/>
      <c r="AI395" s="21"/>
    </row>
    <row r="396" spans="31:35" x14ac:dyDescent="0.25">
      <c r="AE396" s="21"/>
      <c r="AF396" s="21"/>
      <c r="AG396" s="21"/>
      <c r="AH396" s="21"/>
      <c r="AI396" s="21"/>
    </row>
    <row r="397" spans="31:35" x14ac:dyDescent="0.25">
      <c r="AE397" s="21"/>
      <c r="AF397" s="21"/>
      <c r="AG397" s="21"/>
      <c r="AH397" s="21"/>
      <c r="AI397" s="21"/>
    </row>
    <row r="398" spans="31:35" x14ac:dyDescent="0.25">
      <c r="AE398" s="21"/>
      <c r="AF398" s="21"/>
      <c r="AG398" s="21"/>
      <c r="AH398" s="21"/>
      <c r="AI398" s="21"/>
    </row>
    <row r="399" spans="31:35" x14ac:dyDescent="0.25">
      <c r="AE399" s="21"/>
      <c r="AF399" s="21"/>
      <c r="AG399" s="21"/>
      <c r="AH399" s="21"/>
      <c r="AI399" s="21"/>
    </row>
    <row r="400" spans="31:35" x14ac:dyDescent="0.25">
      <c r="AE400" s="21"/>
      <c r="AF400" s="21"/>
      <c r="AG400" s="21"/>
      <c r="AH400" s="21"/>
      <c r="AI400" s="21"/>
    </row>
    <row r="401" spans="31:35" x14ac:dyDescent="0.25">
      <c r="AE401" s="21"/>
      <c r="AF401" s="21"/>
      <c r="AG401" s="21"/>
      <c r="AH401" s="21"/>
      <c r="AI401" s="21"/>
    </row>
    <row r="402" spans="31:35" x14ac:dyDescent="0.25">
      <c r="AE402" s="21"/>
      <c r="AF402" s="21"/>
      <c r="AG402" s="21"/>
      <c r="AH402" s="21"/>
      <c r="AI402" s="21"/>
    </row>
    <row r="403" spans="31:35" x14ac:dyDescent="0.25">
      <c r="AE403" s="21"/>
      <c r="AF403" s="21"/>
      <c r="AG403" s="21"/>
      <c r="AH403" s="21"/>
      <c r="AI403" s="21"/>
    </row>
    <row r="404" spans="31:35" x14ac:dyDescent="0.25">
      <c r="AE404" s="21"/>
      <c r="AF404" s="21"/>
      <c r="AG404" s="21"/>
      <c r="AH404" s="21"/>
      <c r="AI404" s="21"/>
    </row>
    <row r="405" spans="31:35" x14ac:dyDescent="0.25">
      <c r="AE405" s="21"/>
      <c r="AF405" s="21"/>
      <c r="AG405" s="21"/>
      <c r="AH405" s="21"/>
      <c r="AI405" s="21"/>
    </row>
    <row r="406" spans="31:35" x14ac:dyDescent="0.25">
      <c r="AE406" s="21"/>
      <c r="AF406" s="21"/>
      <c r="AG406" s="21"/>
      <c r="AH406" s="21"/>
      <c r="AI406" s="21"/>
    </row>
    <row r="407" spans="31:35" x14ac:dyDescent="0.25">
      <c r="AE407" s="21"/>
      <c r="AF407" s="21"/>
      <c r="AG407" s="21"/>
      <c r="AH407" s="21"/>
      <c r="AI407" s="21"/>
    </row>
    <row r="408" spans="31:35" x14ac:dyDescent="0.25">
      <c r="AE408" s="21"/>
      <c r="AF408" s="21"/>
      <c r="AG408" s="21"/>
      <c r="AH408" s="21"/>
      <c r="AI408" s="21"/>
    </row>
    <row r="409" spans="31:35" x14ac:dyDescent="0.25">
      <c r="AE409" s="21"/>
      <c r="AF409" s="21"/>
      <c r="AG409" s="21"/>
      <c r="AH409" s="21"/>
      <c r="AI409" s="21"/>
    </row>
    <row r="410" spans="31:35" x14ac:dyDescent="0.25">
      <c r="AE410" s="21"/>
      <c r="AF410" s="21"/>
      <c r="AG410" s="21"/>
      <c r="AH410" s="21"/>
      <c r="AI410" s="21"/>
    </row>
    <row r="411" spans="31:35" x14ac:dyDescent="0.25">
      <c r="AE411" s="21"/>
      <c r="AF411" s="21"/>
      <c r="AG411" s="21"/>
      <c r="AH411" s="21"/>
      <c r="AI411" s="21"/>
    </row>
  </sheetData>
  <mergeCells count="2">
    <mergeCell ref="Q3:AA3"/>
    <mergeCell ref="Q21:AA21"/>
  </mergeCells>
  <dataValidations count="2">
    <dataValidation type="list" allowBlank="1" showInputMessage="1" showErrorMessage="1" sqref="B4">
      <formula1>$B$4:$B$6</formula1>
    </dataValidation>
    <dataValidation type="list" allowBlank="1" showInputMessage="1" showErrorMessage="1" sqref="C3:N3 C12:N12 C27:N27 C9:N9">
      <formula1>$C$3:$N$3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2026-05-04T11:21:57Z</dcterms:modified>
</cp:coreProperties>
</file>